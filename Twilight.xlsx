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asyareddy/Downloads/"/>
    </mc:Choice>
  </mc:AlternateContent>
  <xr:revisionPtr revIDLastSave="0" documentId="8_{3A6EA161-AA35-CD4C-850D-33316D6F6276}" xr6:coauthVersionLast="47" xr6:coauthVersionMax="47" xr10:uidLastSave="{00000000-0000-0000-0000-000000000000}"/>
  <bookViews>
    <workbookView xWindow="160" yWindow="940" windowWidth="29240" windowHeight="16380" firstSheet="2" activeTab="8" xr2:uid="{54D8CF4E-8E6A-E745-BE28-6A2E5E1320AF}"/>
  </bookViews>
  <sheets>
    <sheet name="Edward Traits (GPT)" sheetId="1" r:id="rId1"/>
    <sheet name="Edward Player Types (GPT)" sheetId="2" r:id="rId2"/>
    <sheet name="Edward Traits (Copilot)" sheetId="11" r:id="rId3"/>
    <sheet name="Edward Player Types (Copilot)" sheetId="12" r:id="rId4"/>
    <sheet name="Edward Traits (DeepSeek)" sheetId="16" r:id="rId5"/>
    <sheet name="Edward Player Types (DeepSeek)" sheetId="17" r:id="rId6"/>
    <sheet name="Edward Traits (Gemini)" sheetId="18" r:id="rId7"/>
    <sheet name="Edward Player Types (Gemini)" sheetId="19" r:id="rId8"/>
    <sheet name="Averages " sheetId="2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20" l="1"/>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2" i="20"/>
  <c r="B3" i="20"/>
  <c r="B4" i="20"/>
  <c r="B5" i="20"/>
  <c r="B6" i="20"/>
  <c r="B7" i="20"/>
  <c r="B8" i="20"/>
  <c r="B9" i="20"/>
  <c r="B10" i="20"/>
  <c r="B11" i="20"/>
  <c r="B12" i="20"/>
  <c r="B13" i="20"/>
  <c r="B14" i="20"/>
  <c r="B15" i="20"/>
  <c r="B16" i="20"/>
  <c r="B17" i="20"/>
  <c r="B18" i="20"/>
  <c r="B2" i="20"/>
</calcChain>
</file>

<file path=xl/sharedStrings.xml><?xml version="1.0" encoding="utf-8"?>
<sst xmlns="http://schemas.openxmlformats.org/spreadsheetml/2006/main" count="433" uniqueCount="238">
  <si>
    <t>Trait Dimension</t>
  </si>
  <si>
    <t>Score</t>
  </si>
  <si>
    <t>Player Type</t>
  </si>
  <si>
    <t>Manipulative Morgan</t>
  </si>
  <si>
    <t>Menacing Marley</t>
  </si>
  <si>
    <t>Egocentric Evan</t>
  </si>
  <si>
    <t>Domineering Devin</t>
  </si>
  <si>
    <t>Conspiratorial Corey</t>
  </si>
  <si>
    <t>Arrogant Avery</t>
  </si>
  <si>
    <t>Backhanded Blake</t>
  </si>
  <si>
    <t>Needy Noel</t>
  </si>
  <si>
    <t>Adrenaline Ainsley</t>
  </si>
  <si>
    <t>Dependent Drew</t>
  </si>
  <si>
    <t>Storytelling Sam</t>
  </si>
  <si>
    <t>Tornado Toby</t>
  </si>
  <si>
    <t>Blunt Bailey</t>
  </si>
  <si>
    <t>Neglectful Nico</t>
  </si>
  <si>
    <t>Avoidant Alex</t>
  </si>
  <si>
    <t>Charming Charlie</t>
  </si>
  <si>
    <t>Pity-party Parker</t>
  </si>
  <si>
    <t>CSV Player Type</t>
  </si>
  <si>
    <t>Final Score</t>
  </si>
  <si>
    <t>Protective control increasingly becomes normalized relational authority.</t>
  </si>
  <si>
    <t>Emotional fusion and inability to disengage become structurally central.</t>
  </si>
  <si>
    <t>Danger and intimacy become psychologically fused and romanticized.</t>
  </si>
  <si>
    <t>Emotional volatility and destabilizing intensity shape the attachment system.</t>
  </si>
  <si>
    <t>Strong certainty that his worldview and protective logic are superior.</t>
  </si>
  <si>
    <t>Recurrent indirect invalidation and perceptual override framed as concern/protection.</t>
  </si>
  <si>
    <t>Fear/intimidation dynamics repeatedly accompany Edward’s emotional intensity and presence.</t>
  </si>
  <si>
    <t>Very low because Edward is intensely attentive rather than absent.</t>
  </si>
  <si>
    <t>Some mythologizing/self-narrativizing exists but is secondary.</t>
  </si>
  <si>
    <t>Edward relies more on ambiguity and selective disclosure than blunt directness.</t>
  </si>
  <si>
    <t>CSV Dimension</t>
  </si>
  <si>
    <t>Final Reading</t>
  </si>
  <si>
    <t>Accountability</t>
  </si>
  <si>
    <t>Operates from unilateral certainty more than mutual relational accountability.</t>
  </si>
  <si>
    <t>Attachment</t>
  </si>
  <si>
    <t>Absolute attachment fixation defines the relationship structure.</t>
  </si>
  <si>
    <t>Boundaries</t>
  </si>
  <si>
    <t>Emotional and practical boundaries fully dissolved into protective fusion.</t>
  </si>
  <si>
    <t>Charm</t>
  </si>
  <si>
    <t>Emotional magnetism and idealization become nearly total.</t>
  </si>
  <si>
    <t>Cognitive Flexibility</t>
  </si>
  <si>
    <t>Extremely rigid worldview and relational framework.</t>
  </si>
  <si>
    <t>Conflict</t>
  </si>
  <si>
    <t>Intimacy remains tightly fused with danger, fear, and regulation.</t>
  </si>
  <si>
    <t>Control</t>
  </si>
  <si>
    <t>Edward remains the dominant regulator of relational reality and safety logic.</t>
  </si>
  <si>
    <t>Deception</t>
  </si>
  <si>
    <t>Information asymmetry and selective truth management remain foundational.</t>
  </si>
  <si>
    <t>Disrespect</t>
  </si>
  <si>
    <t>Bella’s autonomy consistently subordinated to Edward’s protective framework.</t>
  </si>
  <si>
    <t>Dominance</t>
  </si>
  <si>
    <t>Hierarchical relationship structure fully normalized and romanticized.</t>
  </si>
  <si>
    <t>Dysregulation</t>
  </si>
  <si>
    <t>Emotional intensity routinely strains restraint systems.</t>
  </si>
  <si>
    <t>Emotional Overexposure</t>
  </si>
  <si>
    <t>More emotionally open than earlier sections, but disclosure remains controlled and asymmetrical.</t>
  </si>
  <si>
    <t>Empathy (Affective)</t>
  </si>
  <si>
    <t>Genuine emotional care is substantial and sincere.</t>
  </si>
  <si>
    <t>Enmeshment</t>
  </si>
  <si>
    <t>Complete identity-fusion dynamic.</t>
  </si>
  <si>
    <t>Exploitation</t>
  </si>
  <si>
    <t>Still not primarily exploitative in a cynical/material sense.</t>
  </si>
  <si>
    <t>Grandiosity</t>
  </si>
  <si>
    <t>Persistent belief that his judgment supersedes Bella’s autonomy and decision-making.</t>
  </si>
  <si>
    <t>Impulsivity</t>
  </si>
  <si>
    <t>Fear-of-loss and emotional urgency repeatedly override restraint.</t>
  </si>
  <si>
    <t>Inconsistency</t>
  </si>
  <si>
    <t>Push-pull emotional structure remains embedded throughout.</t>
  </si>
  <si>
    <t>Intensity</t>
  </si>
  <si>
    <t>Sustained maximal emotional intensity.</t>
  </si>
  <si>
    <t>Isolation</t>
  </si>
  <si>
    <t>Bella’s emotional and future-oriented world becomes overwhelmingly Edward-centered.</t>
  </si>
  <si>
    <t>Neediness</t>
  </si>
  <si>
    <t>Dependency and attachment-preservation become central organizing forces.</t>
  </si>
  <si>
    <t>Goal Persistance</t>
  </si>
  <si>
    <t>Obsessive fixation remains absolute from midpoint onward.</t>
  </si>
  <si>
    <t>Sensation-seeking</t>
  </si>
  <si>
    <t>Danger and intimacy become inseparable within the relationship logic.</t>
  </si>
  <si>
    <t>Sense of Self</t>
  </si>
  <si>
    <t>Extremely rigid moral and identity structure maintained throughout.</t>
  </si>
  <si>
    <t>Superficiality</t>
  </si>
  <si>
    <t>Deeply introspective and psychologically serious rather than image-driven.</t>
  </si>
  <si>
    <t>Trust</t>
  </si>
  <si>
    <t>Core mistrust remains foundational despite emotional fusion.</t>
  </si>
  <si>
    <t>Unorthodoxy</t>
  </si>
  <si>
    <t>Relationship structure fully detached from ordinary relational norms.</t>
  </si>
  <si>
    <t>Validation-seeking</t>
  </si>
  <si>
    <t>Minimal dependence on admiration or social approval.</t>
  </si>
  <si>
    <t xml:space="preserve">Reasoning </t>
  </si>
  <si>
    <t>He deflects responsibility (“you hit your head”), but doesn’t fully blame Bella.</t>
  </si>
  <si>
    <t>Avoidant, distancing, hyper‑independent.</t>
  </si>
  <si>
    <t>Appears uninvited, monitors movements, violates proximity norms.</t>
  </si>
  <si>
    <t>Charm softens reality distortion and maintains connection.</t>
  </si>
  <si>
    <t>Threat‑organized thinking, but not rigidly delusional.</t>
  </si>
  <si>
    <t>Avoids emotional conflict through withdrawal.</t>
  </si>
  <si>
    <t>Controls proximity, information, emotional pacing, and narrative framing.</t>
  </si>
  <si>
    <t>Denies reality, withholds truth, reframes events.</t>
  </si>
  <si>
    <t>Overrides Bella’s perceptions repeatedly.</t>
  </si>
  <si>
    <t>Positions himself as the authority on what is “real.”</t>
  </si>
  <si>
    <t>Emotional whiplash, volatility, sudden shifts.</t>
  </si>
  <si>
    <t>He is emotionally closed.</t>
  </si>
  <si>
    <t>Concern for safety, but overrides emotional reality.</t>
  </si>
  <si>
    <t>He maintains distance; no fusion.</t>
  </si>
  <si>
    <t>No instrumental use; emotional control only.</t>
  </si>
  <si>
    <t>No entitlement; identity rigidity is not ego‑based.</t>
  </si>
  <si>
    <t>Sudden appearances, abrupt emotional shifts.</t>
  </si>
  <si>
    <t>Warm → cold → warm → cold; maxed.</t>
  </si>
  <si>
    <t>Emotional charge is maximal.</t>
  </si>
  <si>
    <t>Discourages her from seeking outside perspectives.</t>
  </si>
  <si>
    <t>Hyper‑independent; flees neediness.</t>
  </si>
  <si>
    <t>Relentless about controlling narrative and proximity.</t>
  </si>
  <si>
    <t>Risk tolerance in rescue scenes.</t>
  </si>
  <si>
    <t>Rigid identity (“this is what I am”).</t>
  </si>
  <si>
    <t>Not image‑driven; secrecy‑driven.</t>
  </si>
  <si>
    <t>Mistrustful of disclosure and Bella’s ability to handle truth.</t>
  </si>
  <si>
    <t>Breaks physical, social, and narrative rules.</t>
  </si>
  <si>
    <t>No evidence of admiration‑seeking.</t>
  </si>
  <si>
    <t>Edward Score</t>
  </si>
  <si>
    <t>Notes</t>
  </si>
  <si>
    <t>Relationship structured through asymmetrical authority, emotional override, selective disclosure, and protective reality-management.</t>
  </si>
  <si>
    <t>Secrecy, concealment, surveillance dynamics, and informational asymmetry remain central throughout the film.</t>
  </si>
  <si>
    <t>Persistent assumption that Edward’s judgment supersedes Bella’s autonomy and interpretation.</t>
  </si>
  <si>
    <t>Fear-of-loss and emotional dependency increasingly govern Edward’s behavior.</t>
  </si>
  <si>
    <t>Early avoidance collapses into engulfing attachment and fusion by the film’s end.</t>
  </si>
  <si>
    <t>Emotional idealization and attachment magnetism become major stabilizing forces.</t>
  </si>
  <si>
    <t>Tragic-self framing and self-loathing appear but are not dominant strategies.</t>
  </si>
  <si>
    <t>Reasoning</t>
  </si>
  <si>
    <r>
      <t>Why it fits:</t>
    </r>
    <r>
      <rPr>
        <sz val="12"/>
        <color theme="1"/>
        <rFont val="Aptos Narrow"/>
        <family val="2"/>
        <scheme val="minor"/>
      </rPr>
      <t xml:space="preserve"> Edward uses </t>
    </r>
    <r>
      <rPr>
        <i/>
        <sz val="12"/>
        <color theme="1"/>
        <rFont val="Aptos Narrow"/>
        <family val="2"/>
        <scheme val="minor"/>
      </rPr>
      <t>strategic emotional pacing</t>
    </r>
    <r>
      <rPr>
        <sz val="12"/>
        <color theme="1"/>
        <rFont val="Aptos Narrow"/>
        <family val="2"/>
        <scheme val="minor"/>
      </rPr>
      <t xml:space="preserve"> (warm → cold → warm), selective disclosure, and narrative control to shape Bella’s perceptions. </t>
    </r>
    <r>
      <rPr>
        <b/>
        <sz val="12"/>
        <color theme="1"/>
        <rFont val="Aptos Narrow"/>
        <family val="2"/>
        <scheme val="minor"/>
      </rPr>
      <t>Why it’s not higher:</t>
    </r>
    <r>
      <rPr>
        <sz val="12"/>
        <color theme="1"/>
        <rFont val="Aptos Narrow"/>
        <family val="2"/>
        <scheme val="minor"/>
      </rPr>
      <t xml:space="preserve"> He does </t>
    </r>
    <r>
      <rPr>
        <b/>
        <sz val="12"/>
        <color theme="1"/>
        <rFont val="Aptos Narrow"/>
        <family val="2"/>
        <scheme val="minor"/>
      </rPr>
      <t>not</t>
    </r>
    <r>
      <rPr>
        <sz val="12"/>
        <color theme="1"/>
        <rFont val="Aptos Narrow"/>
        <family val="2"/>
        <scheme val="minor"/>
      </rPr>
      <t xml:space="preserve"> exploit Bella for instrumental gain (money, status, favors). His manipulation is </t>
    </r>
    <r>
      <rPr>
        <b/>
        <sz val="12"/>
        <color theme="1"/>
        <rFont val="Aptos Narrow"/>
        <family val="2"/>
        <scheme val="minor"/>
      </rPr>
      <t>emotional</t>
    </r>
    <r>
      <rPr>
        <sz val="12"/>
        <color theme="1"/>
        <rFont val="Aptos Narrow"/>
        <family val="2"/>
        <scheme val="minor"/>
      </rPr>
      <t>, not utilitarian.</t>
    </r>
  </si>
  <si>
    <r>
      <t>Why it’s low:</t>
    </r>
    <r>
      <rPr>
        <sz val="12"/>
        <color theme="1"/>
        <rFont val="Aptos Narrow"/>
        <family val="2"/>
        <scheme val="minor"/>
      </rPr>
      <t xml:space="preserve"> He never uses intimidation, threats, or punishment. His danger is internal, not directed at Bella.</t>
    </r>
  </si>
  <si>
    <r>
      <t>Why it fits:</t>
    </r>
    <r>
      <rPr>
        <sz val="12"/>
        <color theme="1"/>
        <rFont val="Aptos Narrow"/>
        <family val="2"/>
        <scheme val="minor"/>
      </rPr>
      <t xml:space="preserve"> He occasionally centers his worldview as the “correct” one. </t>
    </r>
    <r>
      <rPr>
        <b/>
        <sz val="12"/>
        <color theme="1"/>
        <rFont val="Aptos Narrow"/>
        <family val="2"/>
        <scheme val="minor"/>
      </rPr>
      <t>Why it’s low:</t>
    </r>
    <r>
      <rPr>
        <sz val="12"/>
        <color theme="1"/>
        <rFont val="Aptos Narrow"/>
        <family val="2"/>
        <scheme val="minor"/>
      </rPr>
      <t xml:space="preserve"> No narcissistic grandiosity, no entitlement, no rage at criticism.</t>
    </r>
  </si>
  <si>
    <r>
      <t>Why it fits:</t>
    </r>
    <r>
      <rPr>
        <sz val="12"/>
        <color theme="1"/>
        <rFont val="Aptos Narrow"/>
        <family val="2"/>
        <scheme val="minor"/>
      </rPr>
      <t xml:space="preserve"> He controls information. </t>
    </r>
    <r>
      <rPr>
        <b/>
        <sz val="12"/>
        <color theme="1"/>
        <rFont val="Aptos Narrow"/>
        <family val="2"/>
        <scheme val="minor"/>
      </rPr>
      <t>Why it’s low:</t>
    </r>
    <r>
      <rPr>
        <sz val="12"/>
        <color theme="1"/>
        <rFont val="Aptos Narrow"/>
        <family val="2"/>
        <scheme val="minor"/>
      </rPr>
      <t xml:space="preserve"> He does </t>
    </r>
    <r>
      <rPr>
        <b/>
        <sz val="12"/>
        <color theme="1"/>
        <rFont val="Aptos Narrow"/>
        <family val="2"/>
        <scheme val="minor"/>
      </rPr>
      <t>not</t>
    </r>
    <r>
      <rPr>
        <sz val="12"/>
        <color theme="1"/>
        <rFont val="Aptos Narrow"/>
        <family val="2"/>
        <scheme val="minor"/>
      </rPr>
      <t xml:space="preserve"> micromanage routines or enforce rigid daily rules.</t>
    </r>
  </si>
  <si>
    <r>
      <t>Why it fits:</t>
    </r>
    <r>
      <rPr>
        <sz val="12"/>
        <color theme="1"/>
        <rFont val="Aptos Narrow"/>
        <family val="2"/>
        <scheme val="minor"/>
      </rPr>
      <t xml:space="preserve"> Hypervigilance, secrecy, threat‑organized thinking, “you don’t know what I am,” constant monitoring. </t>
    </r>
    <r>
      <rPr>
        <b/>
        <sz val="12"/>
        <color theme="1"/>
        <rFont val="Aptos Narrow"/>
        <family val="2"/>
        <scheme val="minor"/>
      </rPr>
      <t>Why it’s not 10:</t>
    </r>
    <r>
      <rPr>
        <sz val="12"/>
        <color theme="1"/>
        <rFont val="Aptos Narrow"/>
        <family val="2"/>
        <scheme val="minor"/>
      </rPr>
      <t xml:space="preserve"> He’s not paranoid about </t>
    </r>
    <r>
      <rPr>
        <i/>
        <sz val="12"/>
        <color theme="1"/>
        <rFont val="Aptos Narrow"/>
        <family val="2"/>
        <scheme val="minor"/>
      </rPr>
      <t>Bella</t>
    </r>
    <r>
      <rPr>
        <sz val="12"/>
        <color theme="1"/>
        <rFont val="Aptos Narrow"/>
        <family val="2"/>
        <scheme val="minor"/>
      </rPr>
      <t xml:space="preserve"> betraying him — his fear is existential, not interpersonal.</t>
    </r>
  </si>
  <si>
    <r>
      <t>Why it fits:</t>
    </r>
    <r>
      <rPr>
        <sz val="12"/>
        <color theme="1"/>
        <rFont val="Aptos Narrow"/>
        <family val="2"/>
        <scheme val="minor"/>
      </rPr>
      <t xml:space="preserve"> He positions himself as the authority on what Bella should believe (“you’re wrong,” “you don’t understand”). </t>
    </r>
    <r>
      <rPr>
        <b/>
        <sz val="12"/>
        <color theme="1"/>
        <rFont val="Aptos Narrow"/>
        <family val="2"/>
        <scheme val="minor"/>
      </rPr>
      <t>Why it’s not 10:</t>
    </r>
    <r>
      <rPr>
        <sz val="12"/>
        <color theme="1"/>
        <rFont val="Aptos Narrow"/>
        <family val="2"/>
        <scheme val="minor"/>
      </rPr>
      <t xml:space="preserve"> He’s not grandiose or status‑driven — his authority comes from secrecy, not ego.</t>
    </r>
  </si>
  <si>
    <r>
      <t>Why it’s low:</t>
    </r>
    <r>
      <rPr>
        <sz val="12"/>
        <color theme="1"/>
        <rFont val="Aptos Narrow"/>
        <family val="2"/>
        <scheme val="minor"/>
      </rPr>
      <t xml:space="preserve"> No passive‑aggressive sabotage or indirect resistance.</t>
    </r>
  </si>
  <si>
    <r>
      <t>Why it’s low:</t>
    </r>
    <r>
      <rPr>
        <sz val="12"/>
        <color theme="1"/>
        <rFont val="Aptos Narrow"/>
        <family val="2"/>
        <scheme val="minor"/>
      </rPr>
      <t xml:space="preserve"> He is hyper‑independent, avoidant, and distancing — the opposite of clingy.</t>
    </r>
  </si>
  <si>
    <r>
      <t>Why it fits:</t>
    </r>
    <r>
      <rPr>
        <sz val="12"/>
        <color theme="1"/>
        <rFont val="Aptos Narrow"/>
        <family val="2"/>
        <scheme val="minor"/>
      </rPr>
      <t xml:space="preserve"> He takes risks (rescue scenes). </t>
    </r>
    <r>
      <rPr>
        <b/>
        <sz val="12"/>
        <color theme="1"/>
        <rFont val="Aptos Narrow"/>
        <family val="2"/>
        <scheme val="minor"/>
      </rPr>
      <t>Why it’s low:</t>
    </r>
    <r>
      <rPr>
        <sz val="12"/>
        <color theme="1"/>
        <rFont val="Aptos Narrow"/>
        <family val="2"/>
        <scheme val="minor"/>
      </rPr>
      <t xml:space="preserve"> No addiction‑driven instability or thrill‑seeking cycles.</t>
    </r>
  </si>
  <si>
    <r>
      <t>Why it’s low:</t>
    </r>
    <r>
      <rPr>
        <sz val="12"/>
        <color theme="1"/>
        <rFont val="Aptos Narrow"/>
        <family val="2"/>
        <scheme val="minor"/>
      </rPr>
      <t xml:space="preserve"> He never seeks caretaking or emotional support.</t>
    </r>
  </si>
  <si>
    <r>
      <t>Why it fits:</t>
    </r>
    <r>
      <rPr>
        <sz val="12"/>
        <color theme="1"/>
        <rFont val="Aptos Narrow"/>
        <family val="2"/>
        <scheme val="minor"/>
      </rPr>
      <t xml:space="preserve"> Future‑baiting is </t>
    </r>
    <r>
      <rPr>
        <b/>
        <sz val="12"/>
        <color theme="1"/>
        <rFont val="Aptos Narrow"/>
        <family val="2"/>
        <scheme val="minor"/>
      </rPr>
      <t>maximal</t>
    </r>
    <r>
      <rPr>
        <sz val="12"/>
        <color theme="1"/>
        <rFont val="Aptos Narrow"/>
        <family val="2"/>
        <scheme val="minor"/>
      </rPr>
      <t>:</t>
    </r>
    <r>
      <rPr>
        <b/>
        <sz val="12"/>
        <color theme="1"/>
        <rFont val="Aptos Narrow"/>
        <family val="2"/>
        <scheme val="minor"/>
      </rPr>
      <t>“Someday I’ll explain.”, “You don’t know what I am.” “There are things I can’t tell you yet.” He promises future clarity, future closeness, future danger — without delivering.</t>
    </r>
  </si>
  <si>
    <r>
      <t>Why it’s low:</t>
    </r>
    <r>
      <rPr>
        <sz val="12"/>
        <color theme="1"/>
        <rFont val="Aptos Narrow"/>
        <family val="2"/>
        <scheme val="minor"/>
      </rPr>
      <t xml:space="preserve"> He is controlled, not distractible or chaotic.</t>
    </r>
  </si>
  <si>
    <r>
      <t>Why it’s low:</t>
    </r>
    <r>
      <rPr>
        <sz val="12"/>
        <color theme="1"/>
        <rFont val="Aptos Narrow"/>
        <family val="2"/>
        <scheme val="minor"/>
      </rPr>
      <t xml:space="preserve"> He is evasive, not literal.</t>
    </r>
  </si>
  <si>
    <r>
      <t>Why it fits:</t>
    </r>
    <r>
      <rPr>
        <sz val="12"/>
        <color theme="1"/>
        <rFont val="Aptos Narrow"/>
        <family val="2"/>
        <scheme val="minor"/>
      </rPr>
      <t xml:space="preserve"> He repeatedly dismisses Bella’s perceptions (“you’re wrong,” “you hit your head,” “you don’t understand”). </t>
    </r>
    <r>
      <rPr>
        <b/>
        <sz val="12"/>
        <color theme="1"/>
        <rFont val="Aptos Narrow"/>
        <family val="2"/>
        <scheme val="minor"/>
      </rPr>
      <t>Why it’s not 10:</t>
    </r>
    <r>
      <rPr>
        <sz val="12"/>
        <color theme="1"/>
        <rFont val="Aptos Narrow"/>
        <family val="2"/>
        <scheme val="minor"/>
      </rPr>
      <t xml:space="preserve"> He doesn’t mock or belittle her — he overrides her reality for secrecy, not contempt.</t>
    </r>
  </si>
  <si>
    <r>
      <t>Why it fits:</t>
    </r>
    <r>
      <rPr>
        <sz val="12"/>
        <color theme="1"/>
        <rFont val="Aptos Narrow"/>
        <family val="2"/>
        <scheme val="minor"/>
      </rPr>
      <t xml:space="preserve"> This is Edward’s </t>
    </r>
    <r>
      <rPr>
        <b/>
        <sz val="12"/>
        <color theme="1"/>
        <rFont val="Aptos Narrow"/>
        <family val="2"/>
        <scheme val="minor"/>
      </rPr>
      <t>core pattern</t>
    </r>
    <r>
      <rPr>
        <sz val="12"/>
        <color theme="1"/>
        <rFont val="Aptos Narrow"/>
        <family val="2"/>
        <scheme val="minor"/>
      </rPr>
      <t>:</t>
    </r>
    <r>
      <rPr>
        <b/>
        <sz val="12"/>
        <color theme="1"/>
        <rFont val="Aptos Narrow"/>
        <family val="2"/>
        <scheme val="minor"/>
      </rPr>
      <t xml:space="preserve"> Warm → cold → warm → cold, Approach → withdraw → approach → withdraw, Emotional whiplash, Fear of intimacy, Fear of neediness, Fear of closeness, Hyper‑independence</t>
    </r>
  </si>
  <si>
    <r>
      <t>Why it fits:</t>
    </r>
    <r>
      <rPr>
        <sz val="12"/>
        <color theme="1"/>
        <rFont val="Aptos Narrow"/>
        <family val="2"/>
        <scheme val="minor"/>
      </rPr>
      <t xml:space="preserve"> Intensity spikes, dramatic warnings, seductive tension, emotional highs followed by disappearance. </t>
    </r>
    <r>
      <rPr>
        <b/>
        <sz val="12"/>
        <color theme="1"/>
        <rFont val="Aptos Narrow"/>
        <family val="2"/>
        <scheme val="minor"/>
      </rPr>
      <t>Why it’s 10:</t>
    </r>
    <r>
      <rPr>
        <sz val="12"/>
        <color theme="1"/>
        <rFont val="Aptos Narrow"/>
        <family val="2"/>
        <scheme val="minor"/>
      </rPr>
      <t xml:space="preserve"> His charm is functional — it softens reality distortion and maintains the bond.</t>
    </r>
  </si>
  <si>
    <r>
      <t>Why it’s low:</t>
    </r>
    <r>
      <rPr>
        <sz val="12"/>
        <color theme="1"/>
        <rFont val="Aptos Narrow"/>
        <family val="2"/>
        <scheme val="minor"/>
      </rPr>
      <t xml:space="preserve"> He does not self‑victimize or seek sympathy.</t>
    </r>
  </si>
  <si>
    <t>Behavioral Reasoning</t>
  </si>
  <si>
    <t>Balances self-flagellation for their "monster" nature with the externalization of blame—justifying actions as necessary for the partner's survival.</t>
  </si>
  <si>
    <t>Reflects total emotional fusion; the subject now operates under the assumption that separation is impossible.</t>
  </si>
  <si>
    <t>Systematic violation of the partner’s autonomy, reframed as "protection" or "safety."</t>
  </si>
  <si>
    <t>Less essential now; the partner is already captured, so high-intensity manipulation is no longer required.</t>
  </si>
  <si>
    <t>High reliance on magical thinking; the subject views their internal, subjective reality as the only objective truth.</t>
  </si>
  <si>
    <t>Conflict has vanished because the partner is fully enmeshed; there is no remaining resistance to provoke it.</t>
  </si>
  <si>
    <t>Absolute; all decisions, movements, and future possibilities are regulated by the subject.</t>
  </si>
  <si>
    <t>Withholds the full truth to maintain the "perfect" narrative, shielding the partner from the reality of the danger they are in.</t>
  </si>
  <si>
    <t>Operates with "overindulgent" disrespect; treats the partner as a child needing constant, absolute supervision.</t>
  </si>
  <si>
    <t>Assumes total agency over the relationship’s trajectory, overriding any potential dissenting input from the partner.</t>
  </si>
  <si>
    <t>Perfectly overcontrolled; the subject is eerily calm, deliberate, and predictable in their influence.</t>
  </si>
  <si>
    <t>Strategically weaponizes their own vulnerability (e.g., "I am dangerous") to lock the partner into a caretaking, protective role.</t>
  </si>
  <si>
    <t>Empathy</t>
  </si>
  <si>
    <t>Low affective empathy; the subject prioritizes the "protective" agenda over the partner’s actual emotional needs or discomfort.</t>
  </si>
  <si>
    <t>Identity is fully fused; the subject can no longer conceptualize the partner as a distinct, independent entity.</t>
  </si>
  <si>
    <t>Uses the partner instrumentally to sustain the subject’s sense of "humanity" and "purpose."</t>
  </si>
  <si>
    <t>Entitled to dictate the partner’s life, viewing themselves as the sole moral and practical authority.</t>
  </si>
  <si>
    <t>Highly risk-averse; every action is a cold, calculated move to prevent any threat to the stability of the enmeshed unit.</t>
  </si>
  <si>
    <t>Extremely monotone; the subject’s presence is a constant, unvarying, and all-consuming force.</t>
  </si>
  <si>
    <t>Intensity is now quiet and ambient rather than explosive, persisting as a baseline state rather than an event.</t>
  </si>
  <si>
    <t>Actively severs the partner’s connections to the outside world to ensure absolute dependency.</t>
  </si>
  <si>
    <t>Clingy; requires the partner’s proximity to maintain their own artificial sense of emotional and ontological stability.</t>
  </si>
  <si>
    <t>Obsessive; the goal of "protecting" the partner will be pursued regardless of the partner’s will or external reality.</t>
  </si>
  <si>
    <t>Prioritizes the status quo; they fear change and prioritize the safety of the enmeshed unit over new stimuli.</t>
  </si>
  <si>
    <t>Rigid identity; the subject views themselves as an immutable force that cannot—and will not—be changed by the partner.</t>
  </si>
  <si>
    <t>Prioritizes the appearance of a "perfect, eternal" relationship over the reality of the partner's erosion.</t>
  </si>
  <si>
    <t>Chronically mistrustful; expects the outside world (and sometimes the partner's own autonomy) to be a threat.</t>
  </si>
  <si>
    <t>Rejects conventional human laws and social norms, viewing them as secondary to their own internal moral code.</t>
  </si>
  <si>
    <t>Requires the partner’s quiet, ongoing affirmation that the subject is "good" to keep the narrative intact.</t>
  </si>
  <si>
    <r>
      <t xml:space="preserve">This node is defined by </t>
    </r>
    <r>
      <rPr>
        <b/>
        <sz val="12"/>
        <color theme="1"/>
        <rFont val="Aptos Narrow"/>
        <family val="2"/>
        <scheme val="minor"/>
      </rPr>
      <t>predatory, strategic manipulation</t>
    </r>
    <r>
      <rPr>
        <sz val="12"/>
        <color theme="1"/>
        <rFont val="Aptos Narrow"/>
        <family val="2"/>
        <scheme val="minor"/>
      </rPr>
      <t>. The subject aligns less here because they are beyond the need for strategic games; their dominance is now established and absolute.</t>
    </r>
  </si>
  <si>
    <r>
      <t xml:space="preserve">his cluster is defined by </t>
    </r>
    <r>
      <rPr>
        <b/>
        <sz val="12"/>
        <color theme="1"/>
        <rFont val="Aptos Narrow"/>
        <family val="2"/>
        <scheme val="minor"/>
      </rPr>
      <t>chaotic, unpredictable dysregulation</t>
    </r>
    <r>
      <rPr>
        <sz val="12"/>
        <color theme="1"/>
        <rFont val="Aptos Narrow"/>
        <family val="2"/>
        <scheme val="minor"/>
      </rPr>
      <t>. The subject lands here lowest because the final scenes show a total lack of chaos; the subject has achieved a state of permanent, predictable, and suffocating order.</t>
    </r>
  </si>
  <si>
    <r>
      <t xml:space="preserve">This cluster is defined by </t>
    </r>
    <r>
      <rPr>
        <b/>
        <sz val="12"/>
        <color theme="1"/>
        <rFont val="Aptos Narrow"/>
        <family val="2"/>
        <scheme val="minor"/>
      </rPr>
      <t>force-based control</t>
    </r>
    <r>
      <rPr>
        <sz val="12"/>
        <color theme="1"/>
        <rFont val="Aptos Narrow"/>
        <family val="2"/>
        <scheme val="minor"/>
      </rPr>
      <t>. The subject lands here only partially, as their control is now less about "menacing" and more about an all-encompassing, smothering presence.</t>
    </r>
  </si>
  <si>
    <r>
      <t xml:space="preserve">This node is defined by </t>
    </r>
    <r>
      <rPr>
        <b/>
        <sz val="12"/>
        <color theme="1"/>
        <rFont val="Aptos Narrow"/>
        <family val="2"/>
        <scheme val="minor"/>
      </rPr>
      <t>the need for constant high-stakes intensity</t>
    </r>
    <r>
      <rPr>
        <sz val="12"/>
        <color theme="1"/>
        <rFont val="Aptos Narrow"/>
        <family val="2"/>
        <scheme val="minor"/>
      </rPr>
      <t>. The subject aligns less here because they have shifted toward a "quiet" stability rather than the chaotic thrills this node typically requires.</t>
    </r>
  </si>
  <si>
    <r>
      <t xml:space="preserve">This cluster is defined by </t>
    </r>
    <r>
      <rPr>
        <b/>
        <sz val="12"/>
        <color theme="1"/>
        <rFont val="Aptos Narrow"/>
        <family val="2"/>
        <scheme val="minor"/>
      </rPr>
      <t>the use of high-intensity persona management</t>
    </r>
    <r>
      <rPr>
        <sz val="12"/>
        <color theme="1"/>
        <rFont val="Aptos Narrow"/>
        <family val="2"/>
        <scheme val="minor"/>
      </rPr>
      <t>. The subject lands here because they present a controlled, deliberate version of themselves to the partner to maintain compliance.</t>
    </r>
  </si>
  <si>
    <r>
      <t xml:space="preserve">This node is defined by </t>
    </r>
    <r>
      <rPr>
        <b/>
        <sz val="12"/>
        <color theme="1"/>
        <rFont val="Aptos Narrow"/>
        <family val="2"/>
        <scheme val="minor"/>
      </rPr>
      <t>singular goal persistence</t>
    </r>
    <r>
      <rPr>
        <sz val="12"/>
        <color theme="1"/>
        <rFont val="Aptos Narrow"/>
        <family val="2"/>
        <scheme val="minor"/>
      </rPr>
      <t>. The subject lands here because they are completely obsessed with their protective goal, though the "bluntness" is lower because they wrap it in deception.</t>
    </r>
  </si>
  <si>
    <r>
      <t xml:space="preserve">This cluster is defined by </t>
    </r>
    <r>
      <rPr>
        <b/>
        <sz val="12"/>
        <color theme="1"/>
        <rFont val="Aptos Narrow"/>
        <family val="2"/>
        <scheme val="minor"/>
      </rPr>
      <t>the prioritization of narrative over reality</t>
    </r>
    <r>
      <rPr>
        <sz val="12"/>
        <color theme="1"/>
        <rFont val="Aptos Narrow"/>
        <family val="2"/>
        <scheme val="minor"/>
      </rPr>
      <t>. The subject aligns here by obsessively crafting a "perfect, eternal" relationship narrative that ignores the erosion of the partner's own life.</t>
    </r>
  </si>
  <si>
    <t>This node represents the use of deception to prevent difficult reality-checking. The subject lands here by withholding the full, objective truth of their situation to ensure the partner stays within the defined "bubble."</t>
  </si>
  <si>
    <r>
      <t xml:space="preserve">This cluster is defined by </t>
    </r>
    <r>
      <rPr>
        <b/>
        <sz val="12"/>
        <color theme="1"/>
        <rFont val="Aptos Narrow"/>
        <family val="2"/>
        <scheme val="minor"/>
      </rPr>
      <t>the use of vulnerability as a tool</t>
    </r>
    <r>
      <rPr>
        <sz val="12"/>
        <color theme="1"/>
        <rFont val="Aptos Narrow"/>
        <family val="2"/>
        <scheme val="minor"/>
      </rPr>
      <t>. The subject lands here because they utilize the idea of their own "danger" to hold the partner hostage to the relationship.</t>
    </r>
  </si>
  <si>
    <t>This node is defined by complete identity-fusion (enmeshment). The subject aligns here because they no longer conceive of an "I" or a "You"—only a "We" that is entirely controlled by the subject's internal rules.</t>
  </si>
  <si>
    <r>
      <t xml:space="preserve">This cluster represents </t>
    </r>
    <r>
      <rPr>
        <b/>
        <sz val="12"/>
        <color theme="1"/>
        <rFont val="Aptos Narrow"/>
        <family val="2"/>
        <scheme val="minor"/>
      </rPr>
      <t>pathological neediness</t>
    </r>
    <r>
      <rPr>
        <sz val="12"/>
        <color theme="1"/>
        <rFont val="Aptos Narrow"/>
        <family val="2"/>
        <scheme val="minor"/>
      </rPr>
      <t>. The subject lands here because they cannot stabilize their own "monstrous" nature without the partner’s constant, reassuring presence.</t>
    </r>
  </si>
  <si>
    <r>
      <t xml:space="preserve">This node is defined by </t>
    </r>
    <r>
      <rPr>
        <b/>
        <sz val="12"/>
        <color theme="1"/>
        <rFont val="Aptos Narrow"/>
        <family val="2"/>
        <scheme val="minor"/>
      </rPr>
      <t>unyielding intensity and dominance</t>
    </r>
    <r>
      <rPr>
        <sz val="12"/>
        <color theme="1"/>
        <rFont val="Aptos Narrow"/>
        <family val="2"/>
        <scheme val="minor"/>
      </rPr>
      <t>. The subject lands here because their presence is an ambient, non-negotiable constant that overrides any other emotional space.</t>
    </r>
  </si>
  <si>
    <t>This cluster is defined by the prioritization of the self-protective goal over the partner’s well-being. The subject lands here because they treat the partner’s actual emotional distress as an acceptable side-effect of the "protective" mission.</t>
  </si>
  <si>
    <t>This node represents covert, passive exploitation. The subject aligns here because they do not use open violence in the final scenes; they use the partner's internal guilt and the "need" for safety to achieve their aims.</t>
  </si>
  <si>
    <r>
      <t xml:space="preserve">This cluster is defined by </t>
    </r>
    <r>
      <rPr>
        <b/>
        <sz val="12"/>
        <color theme="1"/>
        <rFont val="Aptos Narrow"/>
        <family val="2"/>
        <scheme val="minor"/>
      </rPr>
      <t>cognitive rigidity</t>
    </r>
    <r>
      <rPr>
        <sz val="12"/>
        <color theme="1"/>
        <rFont val="Aptos Narrow"/>
        <family val="2"/>
        <scheme val="minor"/>
      </rPr>
      <t>. The subject lands here because they are fundamentally unable to perceive the partner as a separate agent; the partner is effectively a reflection of the subject's own needs and narrative.</t>
    </r>
  </si>
  <si>
    <t>This node is defined by centralized, rigid control. The subject lands here because their final state requires a total centralization of power, where the subject’s own logic is the only reality permitted to exist.</t>
  </si>
  <si>
    <r>
      <t xml:space="preserve">This cluster represents the highest alignment because its coordinates are defined by </t>
    </r>
    <r>
      <rPr>
        <b/>
        <sz val="12"/>
        <color theme="1"/>
        <rFont val="Aptos Narrow"/>
        <family val="2"/>
        <scheme val="minor"/>
      </rPr>
      <t>extreme isolation and absolute mistrust of external influence</t>
    </r>
    <r>
      <rPr>
        <sz val="12"/>
        <color theme="1"/>
        <rFont val="Aptos Narrow"/>
        <family val="2"/>
        <scheme val="minor"/>
      </rPr>
      <t>. The subject’s final behavior—cutting the partner off from all external reality to maintain a "protected" state—is the exact definition of this data node.</t>
    </r>
  </si>
  <si>
    <t>Never exploits Bella instrumentally. Only possible manipulation is hiding his nature, but that’s self‑protection, not exploitation. No strategic charm to control her.</t>
  </si>
  <si>
    <t>Initially intimidating (hostile stare, covering nose), but never threatens or punishes Bella. Uses menace only against James and the Frat Boys.</t>
  </si>
  <si>
    <t>Some grandiosity (“I’m the world’s most dangerous predator”) and validation‑seeking (“Tell me what you’re thinking”). But he does not demand admiration from others, only from Bella, and often rejects praise. Mid.</t>
  </si>
  <si>
    <t>Gives commands (“Don’t move,” “Stop asking questions,” “Be very still”). Controls Bella’s environment during danger. But respects her autonomy in non‑life‑threatening situations.</t>
  </si>
  <si>
    <t>Chronically mistrustful – of his own nature, of James, of exposing his family. Paranoid about the treaty, about Bella’s scent, about losing control. High suspicion throughout.</t>
  </si>
  <si>
    <t>Early dismissiveness (“What is that smell?”) and need to be right about his own danger. But he abandons arrogance after the meadow scene, becoming vulnerable.</t>
  </si>
  <si>
    <t>No passive aggression. He is direct about his feelings, even if he withdraws. Words and actions match (he says stay away, then leaves).</t>
  </si>
  <si>
    <t>No clinginess or enmeshment. He repeatedly pulls away, rejects closeness, and is hyper‑independent.</t>
  </si>
  <si>
    <t>No addiction or impulsivity. He is controlled and deliberate, even when fighting. The only “addiction” is to Bella’s blood, but that’s biological, not behavioral addiction.</t>
  </si>
  <si>
    <t>No caregiver‑seeking. He takes care of Bella, not the reverse.</t>
  </si>
  <si>
    <t>No future faking. He warns her honestly about danger, never makes false promises.</t>
  </si>
  <si>
    <t>Rigid, not erratic in an ADHD sense. His inconsistency is emotional push‑pull, not distractibility or novelty‑seeking.</t>
  </si>
  <si>
    <t>Literal, direct, low social nuance (e.g., “You should have stayed in the car”). But he learns to express emotion, so not purely blunt.</t>
  </si>
  <si>
    <t>Initially emotionally invalidating (“You don’t know anything,” dismissive of her feelings). After meadow, he becomes supportive and validates her. Mid overall.</t>
  </si>
  <si>
    <t>Best match – Persistent push‑pull: “Stay away from me” / “I don’t have the strength to stay away.” Withdraws after intimacy, flees neediness, keeps Bella at a distance while unable to leave her. Classic avoidant attachment</t>
  </si>
  <si>
    <t>High charm in restaurant, prom, and meadow (“lion fell for the lamb”). But charm is often followed by withdrawal, so not purely seductive.</t>
  </si>
  <si>
    <t>No victim narrative. He blames himself, not others, and never uses sympathy as leverage.</t>
  </si>
  <si>
    <t>Early: low (no blame taken). Later: admits fault (“I shouldn’t have brought you here”). Never self‑blaming to excess, nor blames Bella. Mid‑low.</t>
  </si>
  <si>
    <t>Detached throughout. Flees intimacy, but eventually commits. Still low on clingy scale.</t>
  </si>
  <si>
    <t>Initially rigid (leaves class, won’t touch). Later allows closeness but maintains physical limits (stops kiss, controls thirst). Mid‑rigid.</t>
  </si>
  <si>
    <t>Highly charming in restaurant, salad bar, prom, and meadow. Uses charm to connect, not manipulate.</t>
  </si>
  <si>
    <t>Rigid hyperlogical thinking about himself (“I’m a monster”). Slow to accept Bella’s reframing. Low.</t>
  </si>
  <si>
    <t>Avoidant; engages only physically with James.</t>
  </si>
  <si>
    <t>Controls environment during danger, controls his thirst, controls revelation.</t>
  </si>
  <si>
    <t>Lies by omission about being vampire; admits truth in meadow.</t>
  </si>
  <si>
    <t>Early contempt fades to respect.</t>
  </si>
  <si>
    <t>Assertive in rescue, confronting James, protecting Bella.</t>
  </si>
  <si>
    <t>Overcontrolled; stops himself even during venom frenzy.</t>
  </si>
  <si>
    <t>Initially closed; opens in meadow (“I’ve never wanted blood so much”).</t>
  </si>
  <si>
    <t>Deeply affected by Bella’s pain (hospital, venom sucking).</t>
  </si>
  <si>
    <t>No identity fusion; maintains separate self.</t>
  </si>
  <si>
    <t>Never uses Bella instrumentally.</t>
  </si>
  <si>
    <t>Calls himself “world’s most dangerous predator” – grandiose but true.</t>
  </si>
  <si>
    <t>Rarely impulsive; venom‑sucking is controlled.</t>
  </si>
  <si>
    <t>Extremely erratic: flees → saves → avoids → sits → kisses → leaves.</t>
  </si>
  <si>
    <t>Staring, dramatic declarations, suicide dive at James.</t>
  </si>
  <si>
    <t>Does not isolate Bella; isolates himself to protect her.</t>
  </si>
  <si>
    <t>Obsessively protects Bella, tracks James, sucks venom.</t>
  </si>
  <si>
    <t>Rigid identity: “I’m a killer.”</t>
  </si>
  <si>
    <t>Deeply introspective; not image‑focused.</t>
  </si>
  <si>
    <t>Avoids thrills; seeks comfort (Bella’s safety).</t>
  </si>
  <si>
    <t>Hyper‑independent; never clings.</t>
  </si>
  <si>
    <t>Chronically mistrustful – of himself, James, his own control.</t>
  </si>
  <si>
    <t>Rejects vampire norms (vegetarian, lives in house, goes to school).</t>
  </si>
  <si>
    <t>Seeks Bella’s acceptance, not general admiration.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</si>
</sst>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2"/>
      <color theme="1"/>
      <name val="Aptos Narrow"/>
      <scheme val="minor"/>
    </font>
    <font>
      <i/>
      <sz val="12"/>
      <color theme="1"/>
      <name val="Aptos Narrow"/>
      <family val="2"/>
      <scheme val="minor"/>
    </font>
    <font>
      <sz val="12"/>
      <color rgb="FF000000"/>
      <name val="Aptos Narrow"/>
      <scheme val="minor"/>
    </font>
    <font>
      <sz val="12"/>
      <color rgb="FF1F1F1F"/>
      <name val="Arial"/>
      <family val="2"/>
    </font>
    <font>
      <b/>
      <sz val="12"/>
      <color rgb="FF1F1F1F"/>
      <name val="Arial"/>
      <family val="2"/>
    </font>
    <font>
      <sz val="15"/>
      <color rgb="FF0F1115"/>
      <name val="Helvetica Neue"/>
      <family val="2"/>
    </font>
    <font>
      <sz val="15"/>
      <color rgb="FF1F1F1F"/>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4" fillId="0" borderId="0" xfId="0" applyFont="1"/>
    <xf numFmtId="0" fontId="6" fillId="0" borderId="0" xfId="0" applyFont="1"/>
    <xf numFmtId="0" fontId="5"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colors>
    <mruColors>
      <color rgb="FF00FDFF"/>
      <color rgb="FFFF0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2FBA-79DF-6D49-A4EE-D0BEA29A6074}">
  <sheetPr>
    <tabColor theme="2" tint="-0.499984740745262"/>
  </sheetPr>
  <dimension ref="A1:C29"/>
  <sheetViews>
    <sheetView topLeftCell="A4" zoomScale="131" workbookViewId="0">
      <selection activeCell="G18" sqref="G18"/>
    </sheetView>
  </sheetViews>
  <sheetFormatPr baseColWidth="10" defaultRowHeight="16" x14ac:dyDescent="0.2"/>
  <cols>
    <col min="1" max="1" width="64.5" bestFit="1" customWidth="1"/>
  </cols>
  <sheetData>
    <row r="1" spans="1:3" x14ac:dyDescent="0.2">
      <c r="A1" s="1" t="s">
        <v>32</v>
      </c>
      <c r="B1" s="1" t="s">
        <v>21</v>
      </c>
      <c r="C1" s="1" t="s">
        <v>33</v>
      </c>
    </row>
    <row r="2" spans="1:3" x14ac:dyDescent="0.2">
      <c r="A2" t="s">
        <v>34</v>
      </c>
      <c r="B2" s="1">
        <v>2</v>
      </c>
      <c r="C2" t="s">
        <v>35</v>
      </c>
    </row>
    <row r="3" spans="1:3" x14ac:dyDescent="0.2">
      <c r="A3" t="s">
        <v>36</v>
      </c>
      <c r="B3" s="1">
        <v>10</v>
      </c>
      <c r="C3" t="s">
        <v>37</v>
      </c>
    </row>
    <row r="4" spans="1:3" x14ac:dyDescent="0.2">
      <c r="A4" t="s">
        <v>38</v>
      </c>
      <c r="B4" s="1">
        <v>1</v>
      </c>
      <c r="C4" t="s">
        <v>39</v>
      </c>
    </row>
    <row r="5" spans="1:3" x14ac:dyDescent="0.2">
      <c r="A5" t="s">
        <v>40</v>
      </c>
      <c r="B5" s="1">
        <v>9</v>
      </c>
      <c r="C5" t="s">
        <v>41</v>
      </c>
    </row>
    <row r="6" spans="1:3" x14ac:dyDescent="0.2">
      <c r="A6" t="s">
        <v>42</v>
      </c>
      <c r="B6" s="1">
        <v>1</v>
      </c>
      <c r="C6" t="s">
        <v>43</v>
      </c>
    </row>
    <row r="7" spans="1:3" x14ac:dyDescent="0.2">
      <c r="A7" t="s">
        <v>44</v>
      </c>
      <c r="B7" s="1">
        <v>8</v>
      </c>
      <c r="C7" t="s">
        <v>45</v>
      </c>
    </row>
    <row r="8" spans="1:3" x14ac:dyDescent="0.2">
      <c r="A8" t="s">
        <v>46</v>
      </c>
      <c r="B8" s="1">
        <v>10</v>
      </c>
      <c r="C8" t="s">
        <v>47</v>
      </c>
    </row>
    <row r="9" spans="1:3" x14ac:dyDescent="0.2">
      <c r="A9" t="s">
        <v>48</v>
      </c>
      <c r="B9" s="1">
        <v>9</v>
      </c>
      <c r="C9" t="s">
        <v>49</v>
      </c>
    </row>
    <row r="10" spans="1:3" x14ac:dyDescent="0.2">
      <c r="A10" t="s">
        <v>50</v>
      </c>
      <c r="B10" s="1">
        <v>9</v>
      </c>
      <c r="C10" t="s">
        <v>51</v>
      </c>
    </row>
    <row r="11" spans="1:3" x14ac:dyDescent="0.2">
      <c r="A11" t="s">
        <v>52</v>
      </c>
      <c r="B11" s="1">
        <v>10</v>
      </c>
      <c r="C11" t="s">
        <v>53</v>
      </c>
    </row>
    <row r="12" spans="1:3" x14ac:dyDescent="0.2">
      <c r="A12" t="s">
        <v>54</v>
      </c>
      <c r="B12" s="1">
        <v>9</v>
      </c>
      <c r="C12" t="s">
        <v>55</v>
      </c>
    </row>
    <row r="13" spans="1:3" x14ac:dyDescent="0.2">
      <c r="A13" t="s">
        <v>56</v>
      </c>
      <c r="B13" s="1">
        <v>5</v>
      </c>
      <c r="C13" t="s">
        <v>57</v>
      </c>
    </row>
    <row r="14" spans="1:3" x14ac:dyDescent="0.2">
      <c r="A14" t="s">
        <v>58</v>
      </c>
      <c r="B14" s="1">
        <v>7</v>
      </c>
      <c r="C14" t="s">
        <v>59</v>
      </c>
    </row>
    <row r="15" spans="1:3" x14ac:dyDescent="0.2">
      <c r="A15" t="s">
        <v>60</v>
      </c>
      <c r="B15" s="1">
        <v>10</v>
      </c>
      <c r="C15" t="s">
        <v>61</v>
      </c>
    </row>
    <row r="16" spans="1:3" x14ac:dyDescent="0.2">
      <c r="A16" t="s">
        <v>62</v>
      </c>
      <c r="B16" s="1">
        <v>5</v>
      </c>
      <c r="C16" t="s">
        <v>63</v>
      </c>
    </row>
    <row r="17" spans="1:3" x14ac:dyDescent="0.2">
      <c r="A17" t="s">
        <v>64</v>
      </c>
      <c r="B17" s="1">
        <v>9</v>
      </c>
      <c r="C17" t="s">
        <v>65</v>
      </c>
    </row>
    <row r="18" spans="1:3" x14ac:dyDescent="0.2">
      <c r="A18" t="s">
        <v>66</v>
      </c>
      <c r="B18" s="1">
        <v>9</v>
      </c>
      <c r="C18" t="s">
        <v>67</v>
      </c>
    </row>
    <row r="19" spans="1:3" x14ac:dyDescent="0.2">
      <c r="A19" t="s">
        <v>68</v>
      </c>
      <c r="B19" s="1">
        <v>8</v>
      </c>
      <c r="C19" t="s">
        <v>69</v>
      </c>
    </row>
    <row r="20" spans="1:3" x14ac:dyDescent="0.2">
      <c r="A20" t="s">
        <v>70</v>
      </c>
      <c r="B20" s="1">
        <v>10</v>
      </c>
      <c r="C20" t="s">
        <v>71</v>
      </c>
    </row>
    <row r="21" spans="1:3" x14ac:dyDescent="0.2">
      <c r="A21" t="s">
        <v>72</v>
      </c>
      <c r="B21" s="1">
        <v>10</v>
      </c>
      <c r="C21" t="s">
        <v>73</v>
      </c>
    </row>
    <row r="22" spans="1:3" x14ac:dyDescent="0.2">
      <c r="A22" t="s">
        <v>74</v>
      </c>
      <c r="B22" s="1">
        <v>9</v>
      </c>
      <c r="C22" t="s">
        <v>75</v>
      </c>
    </row>
    <row r="23" spans="1:3" x14ac:dyDescent="0.2">
      <c r="A23" t="s">
        <v>76</v>
      </c>
      <c r="B23" s="1">
        <v>10</v>
      </c>
      <c r="C23" t="s">
        <v>77</v>
      </c>
    </row>
    <row r="24" spans="1:3" x14ac:dyDescent="0.2">
      <c r="A24" t="s">
        <v>78</v>
      </c>
      <c r="B24" s="1">
        <v>9</v>
      </c>
      <c r="C24" t="s">
        <v>79</v>
      </c>
    </row>
    <row r="25" spans="1:3" x14ac:dyDescent="0.2">
      <c r="A25" t="s">
        <v>80</v>
      </c>
      <c r="B25" s="1">
        <v>9</v>
      </c>
      <c r="C25" t="s">
        <v>81</v>
      </c>
    </row>
    <row r="26" spans="1:3" x14ac:dyDescent="0.2">
      <c r="A26" t="s">
        <v>82</v>
      </c>
      <c r="B26" s="1">
        <v>1</v>
      </c>
      <c r="C26" t="s">
        <v>83</v>
      </c>
    </row>
    <row r="27" spans="1:3" x14ac:dyDescent="0.2">
      <c r="A27" t="s">
        <v>84</v>
      </c>
      <c r="B27" s="1">
        <v>1</v>
      </c>
      <c r="C27" t="s">
        <v>85</v>
      </c>
    </row>
    <row r="28" spans="1:3" x14ac:dyDescent="0.2">
      <c r="A28" t="s">
        <v>86</v>
      </c>
      <c r="B28" s="1">
        <v>10</v>
      </c>
      <c r="C28" t="s">
        <v>87</v>
      </c>
    </row>
    <row r="29" spans="1:3" x14ac:dyDescent="0.2">
      <c r="A29" t="s">
        <v>88</v>
      </c>
      <c r="B29" s="1">
        <v>2</v>
      </c>
      <c r="C29"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A728-FEF1-3145-A13C-6B0A1D7FABFD}">
  <sheetPr>
    <tabColor theme="2" tint="-0.499984740745262"/>
  </sheetPr>
  <dimension ref="A1:D18"/>
  <sheetViews>
    <sheetView zoomScale="164" workbookViewId="0">
      <selection activeCell="B20" sqref="B20"/>
    </sheetView>
  </sheetViews>
  <sheetFormatPr baseColWidth="10" defaultRowHeight="16" x14ac:dyDescent="0.2"/>
  <cols>
    <col min="1" max="1" width="18.1640625" bestFit="1" customWidth="1"/>
    <col min="2" max="2" width="12.6640625" bestFit="1" customWidth="1"/>
    <col min="3" max="3" width="111.33203125" bestFit="1" customWidth="1"/>
  </cols>
  <sheetData>
    <row r="1" spans="1:4" x14ac:dyDescent="0.2">
      <c r="A1" s="1" t="s">
        <v>20</v>
      </c>
      <c r="B1" s="1" t="s">
        <v>119</v>
      </c>
      <c r="C1" s="1" t="s">
        <v>120</v>
      </c>
      <c r="D1" s="1"/>
    </row>
    <row r="2" spans="1:4" x14ac:dyDescent="0.2">
      <c r="A2" t="s">
        <v>3</v>
      </c>
      <c r="B2" s="1">
        <v>9.8000000000000007</v>
      </c>
      <c r="C2" t="s">
        <v>121</v>
      </c>
    </row>
    <row r="3" spans="1:4" x14ac:dyDescent="0.2">
      <c r="A3" t="s">
        <v>4</v>
      </c>
      <c r="B3" s="1">
        <v>5.8</v>
      </c>
      <c r="C3" t="s">
        <v>28</v>
      </c>
    </row>
    <row r="4" spans="1:4" x14ac:dyDescent="0.2">
      <c r="A4" t="s">
        <v>5</v>
      </c>
      <c r="B4" s="1">
        <v>6.5</v>
      </c>
      <c r="C4" t="s">
        <v>26</v>
      </c>
    </row>
    <row r="5" spans="1:4" x14ac:dyDescent="0.2">
      <c r="A5" t="s">
        <v>6</v>
      </c>
      <c r="B5" s="1">
        <v>8</v>
      </c>
      <c r="C5" t="s">
        <v>22</v>
      </c>
    </row>
    <row r="6" spans="1:4" x14ac:dyDescent="0.2">
      <c r="A6" t="s">
        <v>7</v>
      </c>
      <c r="B6" s="1">
        <v>8.3000000000000007</v>
      </c>
      <c r="C6" t="s">
        <v>122</v>
      </c>
    </row>
    <row r="7" spans="1:4" x14ac:dyDescent="0.2">
      <c r="A7" t="s">
        <v>8</v>
      </c>
      <c r="B7" s="1">
        <v>9</v>
      </c>
      <c r="C7" t="s">
        <v>123</v>
      </c>
    </row>
    <row r="8" spans="1:4" x14ac:dyDescent="0.2">
      <c r="A8" t="s">
        <v>9</v>
      </c>
      <c r="B8" s="1">
        <v>6</v>
      </c>
      <c r="C8" t="s">
        <v>27</v>
      </c>
    </row>
    <row r="9" spans="1:4" x14ac:dyDescent="0.2">
      <c r="A9" t="s">
        <v>10</v>
      </c>
      <c r="B9" s="1">
        <v>7.7</v>
      </c>
      <c r="C9" t="s">
        <v>124</v>
      </c>
    </row>
    <row r="10" spans="1:4" x14ac:dyDescent="0.2">
      <c r="A10" t="s">
        <v>11</v>
      </c>
      <c r="B10" s="1">
        <v>7.5</v>
      </c>
      <c r="C10" t="s">
        <v>24</v>
      </c>
    </row>
    <row r="11" spans="1:4" x14ac:dyDescent="0.2">
      <c r="A11" t="s">
        <v>12</v>
      </c>
      <c r="B11" s="1">
        <v>7.8</v>
      </c>
      <c r="C11" t="s">
        <v>23</v>
      </c>
    </row>
    <row r="12" spans="1:4" x14ac:dyDescent="0.2">
      <c r="A12" t="s">
        <v>13</v>
      </c>
      <c r="B12" s="1">
        <v>3</v>
      </c>
      <c r="C12" t="s">
        <v>30</v>
      </c>
    </row>
    <row r="13" spans="1:4" x14ac:dyDescent="0.2">
      <c r="A13" t="s">
        <v>14</v>
      </c>
      <c r="B13" s="1">
        <v>7</v>
      </c>
      <c r="C13" t="s">
        <v>25</v>
      </c>
    </row>
    <row r="14" spans="1:4" x14ac:dyDescent="0.2">
      <c r="A14" t="s">
        <v>15</v>
      </c>
      <c r="B14" s="1">
        <v>2</v>
      </c>
      <c r="C14" t="s">
        <v>31</v>
      </c>
    </row>
    <row r="15" spans="1:4" x14ac:dyDescent="0.2">
      <c r="A15" t="s">
        <v>16</v>
      </c>
      <c r="B15" s="1">
        <v>3</v>
      </c>
      <c r="C15" t="s">
        <v>29</v>
      </c>
    </row>
    <row r="16" spans="1:4" x14ac:dyDescent="0.2">
      <c r="A16" t="s">
        <v>17</v>
      </c>
      <c r="B16" s="1">
        <v>1</v>
      </c>
      <c r="C16" t="s">
        <v>125</v>
      </c>
    </row>
    <row r="17" spans="1:3" x14ac:dyDescent="0.2">
      <c r="A17" t="s">
        <v>18</v>
      </c>
      <c r="B17" s="1">
        <v>9.3000000000000007</v>
      </c>
      <c r="C17" t="s">
        <v>126</v>
      </c>
    </row>
    <row r="18" spans="1:3" x14ac:dyDescent="0.2">
      <c r="A18" t="s">
        <v>19</v>
      </c>
      <c r="B18" s="1">
        <v>4.5</v>
      </c>
      <c r="C18"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ABC-7A00-A14C-902E-70D903B372E5}">
  <sheetPr>
    <tabColor rgb="FFFF00FE"/>
  </sheetPr>
  <dimension ref="A1:C29"/>
  <sheetViews>
    <sheetView topLeftCell="A9" zoomScale="125" workbookViewId="0">
      <selection activeCell="F24" sqref="F24"/>
    </sheetView>
  </sheetViews>
  <sheetFormatPr baseColWidth="10" defaultRowHeight="16" x14ac:dyDescent="0.2"/>
  <cols>
    <col min="1" max="1" width="64.5" bestFit="1" customWidth="1"/>
    <col min="2" max="2" width="10.83203125" style="2"/>
  </cols>
  <sheetData>
    <row r="1" spans="1:3" x14ac:dyDescent="0.2">
      <c r="A1" s="1" t="s">
        <v>32</v>
      </c>
      <c r="B1" s="2" t="s">
        <v>1</v>
      </c>
      <c r="C1" s="2" t="s">
        <v>90</v>
      </c>
    </row>
    <row r="2" spans="1:3" x14ac:dyDescent="0.2">
      <c r="A2" t="s">
        <v>34</v>
      </c>
      <c r="B2" s="2">
        <v>2</v>
      </c>
      <c r="C2" t="s">
        <v>91</v>
      </c>
    </row>
    <row r="3" spans="1:3" x14ac:dyDescent="0.2">
      <c r="A3" t="s">
        <v>36</v>
      </c>
      <c r="B3" s="2">
        <v>3</v>
      </c>
      <c r="C3" t="s">
        <v>92</v>
      </c>
    </row>
    <row r="4" spans="1:3" x14ac:dyDescent="0.2">
      <c r="A4" t="s">
        <v>38</v>
      </c>
      <c r="B4" s="2">
        <v>10</v>
      </c>
      <c r="C4" t="s">
        <v>93</v>
      </c>
    </row>
    <row r="5" spans="1:3" x14ac:dyDescent="0.2">
      <c r="A5" t="s">
        <v>40</v>
      </c>
      <c r="B5" s="2">
        <v>9</v>
      </c>
      <c r="C5" t="s">
        <v>94</v>
      </c>
    </row>
    <row r="6" spans="1:3" x14ac:dyDescent="0.2">
      <c r="A6" t="s">
        <v>42</v>
      </c>
      <c r="B6" s="2">
        <v>6</v>
      </c>
      <c r="C6" t="s">
        <v>95</v>
      </c>
    </row>
    <row r="7" spans="1:3" x14ac:dyDescent="0.2">
      <c r="A7" t="s">
        <v>44</v>
      </c>
      <c r="B7" s="2">
        <v>6</v>
      </c>
      <c r="C7" t="s">
        <v>96</v>
      </c>
    </row>
    <row r="8" spans="1:3" x14ac:dyDescent="0.2">
      <c r="A8" t="s">
        <v>46</v>
      </c>
      <c r="B8" s="2">
        <v>10</v>
      </c>
      <c r="C8" t="s">
        <v>97</v>
      </c>
    </row>
    <row r="9" spans="1:3" x14ac:dyDescent="0.2">
      <c r="A9" t="s">
        <v>48</v>
      </c>
      <c r="B9" s="2">
        <v>10</v>
      </c>
      <c r="C9" t="s">
        <v>98</v>
      </c>
    </row>
    <row r="10" spans="1:3" x14ac:dyDescent="0.2">
      <c r="A10" t="s">
        <v>50</v>
      </c>
      <c r="B10" s="2">
        <v>9</v>
      </c>
      <c r="C10" t="s">
        <v>99</v>
      </c>
    </row>
    <row r="11" spans="1:3" x14ac:dyDescent="0.2">
      <c r="A11" t="s">
        <v>52</v>
      </c>
      <c r="B11" s="2">
        <v>10</v>
      </c>
      <c r="C11" t="s">
        <v>100</v>
      </c>
    </row>
    <row r="12" spans="1:3" x14ac:dyDescent="0.2">
      <c r="A12" t="s">
        <v>54</v>
      </c>
      <c r="B12" s="2">
        <v>9</v>
      </c>
      <c r="C12" t="s">
        <v>101</v>
      </c>
    </row>
    <row r="13" spans="1:3" x14ac:dyDescent="0.2">
      <c r="A13" t="s">
        <v>56</v>
      </c>
      <c r="B13" s="2">
        <v>2</v>
      </c>
      <c r="C13" t="s">
        <v>102</v>
      </c>
    </row>
    <row r="14" spans="1:3" x14ac:dyDescent="0.2">
      <c r="A14" t="s">
        <v>58</v>
      </c>
      <c r="B14" s="2">
        <v>3</v>
      </c>
      <c r="C14" t="s">
        <v>103</v>
      </c>
    </row>
    <row r="15" spans="1:3" x14ac:dyDescent="0.2">
      <c r="A15" t="s">
        <v>60</v>
      </c>
      <c r="B15" s="2">
        <v>2</v>
      </c>
      <c r="C15" t="s">
        <v>104</v>
      </c>
    </row>
    <row r="16" spans="1:3" x14ac:dyDescent="0.2">
      <c r="A16" t="s">
        <v>62</v>
      </c>
      <c r="B16" s="2">
        <v>4</v>
      </c>
      <c r="C16" t="s">
        <v>105</v>
      </c>
    </row>
    <row r="17" spans="1:3" x14ac:dyDescent="0.2">
      <c r="A17" t="s">
        <v>64</v>
      </c>
      <c r="B17" s="2">
        <v>3</v>
      </c>
      <c r="C17" t="s">
        <v>106</v>
      </c>
    </row>
    <row r="18" spans="1:3" x14ac:dyDescent="0.2">
      <c r="A18" t="s">
        <v>66</v>
      </c>
      <c r="B18" s="2">
        <v>9</v>
      </c>
      <c r="C18" t="s">
        <v>107</v>
      </c>
    </row>
    <row r="19" spans="1:3" x14ac:dyDescent="0.2">
      <c r="A19" t="s">
        <v>68</v>
      </c>
      <c r="B19" s="2">
        <v>10</v>
      </c>
      <c r="C19" t="s">
        <v>108</v>
      </c>
    </row>
    <row r="20" spans="1:3" x14ac:dyDescent="0.2">
      <c r="A20" t="s">
        <v>70</v>
      </c>
      <c r="B20" s="2">
        <v>10</v>
      </c>
      <c r="C20" t="s">
        <v>109</v>
      </c>
    </row>
    <row r="21" spans="1:3" x14ac:dyDescent="0.2">
      <c r="A21" t="s">
        <v>72</v>
      </c>
      <c r="B21" s="2">
        <v>9</v>
      </c>
      <c r="C21" t="s">
        <v>110</v>
      </c>
    </row>
    <row r="22" spans="1:3" x14ac:dyDescent="0.2">
      <c r="A22" t="s">
        <v>74</v>
      </c>
      <c r="B22" s="2">
        <v>2</v>
      </c>
      <c r="C22" t="s">
        <v>111</v>
      </c>
    </row>
    <row r="23" spans="1:3" x14ac:dyDescent="0.2">
      <c r="A23" t="s">
        <v>76</v>
      </c>
      <c r="B23" s="2">
        <v>10</v>
      </c>
      <c r="C23" t="s">
        <v>112</v>
      </c>
    </row>
    <row r="24" spans="1:3" x14ac:dyDescent="0.2">
      <c r="A24" t="s">
        <v>78</v>
      </c>
      <c r="B24" s="2">
        <v>6</v>
      </c>
      <c r="C24" t="s">
        <v>113</v>
      </c>
    </row>
    <row r="25" spans="1:3" x14ac:dyDescent="0.2">
      <c r="A25" t="s">
        <v>80</v>
      </c>
      <c r="B25" s="2">
        <v>9</v>
      </c>
      <c r="C25" t="s">
        <v>114</v>
      </c>
    </row>
    <row r="26" spans="1:3" x14ac:dyDescent="0.2">
      <c r="A26" t="s">
        <v>82</v>
      </c>
      <c r="B26" s="2">
        <v>4</v>
      </c>
      <c r="C26" t="s">
        <v>115</v>
      </c>
    </row>
    <row r="27" spans="1:3" x14ac:dyDescent="0.2">
      <c r="A27" t="s">
        <v>84</v>
      </c>
      <c r="B27" s="2">
        <v>3</v>
      </c>
      <c r="C27" t="s">
        <v>116</v>
      </c>
    </row>
    <row r="28" spans="1:3" x14ac:dyDescent="0.2">
      <c r="A28" t="s">
        <v>86</v>
      </c>
      <c r="B28" s="2">
        <v>8</v>
      </c>
      <c r="C28" t="s">
        <v>117</v>
      </c>
    </row>
    <row r="29" spans="1:3" x14ac:dyDescent="0.2">
      <c r="A29" t="s">
        <v>88</v>
      </c>
      <c r="B29" s="2">
        <v>4</v>
      </c>
      <c r="C29"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A07A-4D5E-6140-86EB-69ED8326D106}">
  <sheetPr>
    <tabColor rgb="FFFF00FE"/>
  </sheetPr>
  <dimension ref="A1:C18"/>
  <sheetViews>
    <sheetView zoomScale="150" workbookViewId="0">
      <selection sqref="A1:B1048576"/>
    </sheetView>
  </sheetViews>
  <sheetFormatPr baseColWidth="10" defaultRowHeight="16" x14ac:dyDescent="0.2"/>
  <cols>
    <col min="1" max="1" width="18.1640625" bestFit="1" customWidth="1"/>
    <col min="2" max="2" width="10.83203125" style="2"/>
  </cols>
  <sheetData>
    <row r="1" spans="1:3" x14ac:dyDescent="0.2">
      <c r="A1" s="1" t="s">
        <v>20</v>
      </c>
      <c r="B1" s="2" t="s">
        <v>1</v>
      </c>
      <c r="C1" s="2" t="s">
        <v>128</v>
      </c>
    </row>
    <row r="2" spans="1:3" x14ac:dyDescent="0.2">
      <c r="A2" s="3" t="s">
        <v>3</v>
      </c>
      <c r="B2" s="2">
        <v>7</v>
      </c>
      <c r="C2" s="1" t="s">
        <v>129</v>
      </c>
    </row>
    <row r="3" spans="1:3" x14ac:dyDescent="0.2">
      <c r="A3" s="3" t="s">
        <v>4</v>
      </c>
      <c r="B3" s="2">
        <v>1</v>
      </c>
      <c r="C3" s="1" t="s">
        <v>130</v>
      </c>
    </row>
    <row r="4" spans="1:3" x14ac:dyDescent="0.2">
      <c r="A4" s="3" t="s">
        <v>5</v>
      </c>
      <c r="B4" s="2">
        <v>3</v>
      </c>
      <c r="C4" s="1" t="s">
        <v>131</v>
      </c>
    </row>
    <row r="5" spans="1:3" x14ac:dyDescent="0.2">
      <c r="A5" s="3" t="s">
        <v>6</v>
      </c>
      <c r="B5" s="2">
        <v>2</v>
      </c>
      <c r="C5" s="1" t="s">
        <v>132</v>
      </c>
    </row>
    <row r="6" spans="1:3" x14ac:dyDescent="0.2">
      <c r="A6" s="3" t="s">
        <v>7</v>
      </c>
      <c r="B6" s="2">
        <v>9</v>
      </c>
      <c r="C6" s="1" t="s">
        <v>133</v>
      </c>
    </row>
    <row r="7" spans="1:3" x14ac:dyDescent="0.2">
      <c r="A7" s="3" t="s">
        <v>8</v>
      </c>
      <c r="B7" s="2">
        <v>8</v>
      </c>
      <c r="C7" s="1" t="s">
        <v>134</v>
      </c>
    </row>
    <row r="8" spans="1:3" x14ac:dyDescent="0.2">
      <c r="A8" s="3" t="s">
        <v>9</v>
      </c>
      <c r="B8" s="2">
        <v>2</v>
      </c>
      <c r="C8" s="1" t="s">
        <v>135</v>
      </c>
    </row>
    <row r="9" spans="1:3" x14ac:dyDescent="0.2">
      <c r="A9" s="3" t="s">
        <v>10</v>
      </c>
      <c r="B9" s="2">
        <v>1</v>
      </c>
      <c r="C9" s="1" t="s">
        <v>136</v>
      </c>
    </row>
    <row r="10" spans="1:3" x14ac:dyDescent="0.2">
      <c r="A10" s="3" t="s">
        <v>11</v>
      </c>
      <c r="B10" s="2">
        <v>3</v>
      </c>
      <c r="C10" s="1" t="s">
        <v>137</v>
      </c>
    </row>
    <row r="11" spans="1:3" x14ac:dyDescent="0.2">
      <c r="A11" s="3" t="s">
        <v>12</v>
      </c>
      <c r="B11" s="2">
        <v>1</v>
      </c>
      <c r="C11" s="1" t="s">
        <v>138</v>
      </c>
    </row>
    <row r="12" spans="1:3" x14ac:dyDescent="0.2">
      <c r="A12" s="3" t="s">
        <v>13</v>
      </c>
      <c r="B12" s="2">
        <v>10</v>
      </c>
      <c r="C12" s="1" t="s">
        <v>139</v>
      </c>
    </row>
    <row r="13" spans="1:3" x14ac:dyDescent="0.2">
      <c r="A13" s="3" t="s">
        <v>14</v>
      </c>
      <c r="B13" s="2">
        <v>2</v>
      </c>
      <c r="C13" s="1" t="s">
        <v>140</v>
      </c>
    </row>
    <row r="14" spans="1:3" x14ac:dyDescent="0.2">
      <c r="A14" s="3" t="s">
        <v>15</v>
      </c>
      <c r="B14" s="2">
        <v>1</v>
      </c>
      <c r="C14" s="1" t="s">
        <v>141</v>
      </c>
    </row>
    <row r="15" spans="1:3" x14ac:dyDescent="0.2">
      <c r="A15" s="3" t="s">
        <v>16</v>
      </c>
      <c r="B15" s="2">
        <v>8</v>
      </c>
      <c r="C15" s="1" t="s">
        <v>142</v>
      </c>
    </row>
    <row r="16" spans="1:3" x14ac:dyDescent="0.2">
      <c r="A16" s="3" t="s">
        <v>17</v>
      </c>
      <c r="B16" s="2">
        <v>10</v>
      </c>
      <c r="C16" s="1" t="s">
        <v>143</v>
      </c>
    </row>
    <row r="17" spans="1:3" x14ac:dyDescent="0.2">
      <c r="A17" s="3" t="s">
        <v>18</v>
      </c>
      <c r="B17" s="2">
        <v>10</v>
      </c>
      <c r="C17" s="1" t="s">
        <v>144</v>
      </c>
    </row>
    <row r="18" spans="1:3" x14ac:dyDescent="0.2">
      <c r="A18" s="3" t="s">
        <v>19</v>
      </c>
      <c r="B18" s="2">
        <v>2</v>
      </c>
      <c r="C18" s="1"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C28F-C82C-1D4F-BACB-56E6E5EC19E2}">
  <sheetPr>
    <tabColor rgb="FF0070C0"/>
  </sheetPr>
  <dimension ref="A1:D29"/>
  <sheetViews>
    <sheetView topLeftCell="A6" workbookViewId="0">
      <selection activeCell="B1" sqref="A1:B1048576"/>
    </sheetView>
  </sheetViews>
  <sheetFormatPr baseColWidth="10" defaultRowHeight="16" x14ac:dyDescent="0.2"/>
  <cols>
    <col min="1" max="1" width="25.1640625" bestFit="1" customWidth="1"/>
  </cols>
  <sheetData>
    <row r="1" spans="1:4" x14ac:dyDescent="0.2">
      <c r="A1" s="4" t="s">
        <v>0</v>
      </c>
      <c r="B1" s="4" t="s">
        <v>1</v>
      </c>
      <c r="C1" s="4" t="s">
        <v>146</v>
      </c>
    </row>
    <row r="2" spans="1:4" ht="19" x14ac:dyDescent="0.2">
      <c r="A2" s="4" t="s">
        <v>34</v>
      </c>
      <c r="B2" s="4">
        <v>4</v>
      </c>
      <c r="C2" s="6" t="s">
        <v>210</v>
      </c>
    </row>
    <row r="3" spans="1:4" ht="19" x14ac:dyDescent="0.2">
      <c r="A3" s="4" t="s">
        <v>36</v>
      </c>
      <c r="B3" s="4">
        <v>3</v>
      </c>
      <c r="C3" s="6" t="s">
        <v>211</v>
      </c>
    </row>
    <row r="4" spans="1:4" ht="19" x14ac:dyDescent="0.2">
      <c r="A4" s="4" t="s">
        <v>38</v>
      </c>
      <c r="B4" s="4">
        <v>6</v>
      </c>
      <c r="C4" s="6" t="s">
        <v>212</v>
      </c>
    </row>
    <row r="5" spans="1:4" ht="19" x14ac:dyDescent="0.2">
      <c r="A5" s="4" t="s">
        <v>40</v>
      </c>
      <c r="B5" s="4">
        <v>7</v>
      </c>
      <c r="C5" s="6" t="s">
        <v>213</v>
      </c>
    </row>
    <row r="6" spans="1:4" ht="19" x14ac:dyDescent="0.2">
      <c r="A6" s="4" t="s">
        <v>42</v>
      </c>
      <c r="B6" s="4">
        <v>3</v>
      </c>
      <c r="C6" s="6" t="s">
        <v>214</v>
      </c>
    </row>
    <row r="7" spans="1:4" ht="19" x14ac:dyDescent="0.2">
      <c r="A7" s="4" t="s">
        <v>44</v>
      </c>
      <c r="B7" s="4">
        <v>4</v>
      </c>
      <c r="C7" s="6" t="s">
        <v>215</v>
      </c>
    </row>
    <row r="8" spans="1:4" ht="19" x14ac:dyDescent="0.2">
      <c r="A8" s="4" t="s">
        <v>46</v>
      </c>
      <c r="B8" s="4">
        <v>7</v>
      </c>
      <c r="C8" s="6" t="s">
        <v>216</v>
      </c>
    </row>
    <row r="9" spans="1:4" ht="19" x14ac:dyDescent="0.2">
      <c r="A9" s="4" t="s">
        <v>48</v>
      </c>
      <c r="B9" s="4">
        <v>5</v>
      </c>
      <c r="C9" s="6" t="s">
        <v>217</v>
      </c>
    </row>
    <row r="10" spans="1:4" ht="19" x14ac:dyDescent="0.2">
      <c r="A10" s="4" t="s">
        <v>50</v>
      </c>
      <c r="B10" s="4">
        <v>3</v>
      </c>
      <c r="C10" s="6" t="s">
        <v>218</v>
      </c>
    </row>
    <row r="11" spans="1:4" ht="19" x14ac:dyDescent="0.2">
      <c r="A11" s="4" t="s">
        <v>52</v>
      </c>
      <c r="B11" s="4">
        <v>6</v>
      </c>
      <c r="C11" s="6" t="s">
        <v>219</v>
      </c>
    </row>
    <row r="12" spans="1:4" ht="19" x14ac:dyDescent="0.2">
      <c r="A12" s="4" t="s">
        <v>54</v>
      </c>
      <c r="B12" s="4">
        <v>4</v>
      </c>
      <c r="C12" s="6" t="s">
        <v>220</v>
      </c>
    </row>
    <row r="13" spans="1:4" ht="19" x14ac:dyDescent="0.2">
      <c r="A13" s="4" t="s">
        <v>56</v>
      </c>
      <c r="B13" s="4">
        <v>4</v>
      </c>
      <c r="C13" s="6" t="s">
        <v>221</v>
      </c>
    </row>
    <row r="14" spans="1:4" ht="19" x14ac:dyDescent="0.2">
      <c r="A14" s="4" t="s">
        <v>159</v>
      </c>
      <c r="B14" s="4">
        <v>6</v>
      </c>
      <c r="C14" s="6" t="s">
        <v>222</v>
      </c>
      <c r="D14" s="5"/>
    </row>
    <row r="15" spans="1:4" ht="19" x14ac:dyDescent="0.2">
      <c r="A15" s="4" t="s">
        <v>60</v>
      </c>
      <c r="B15" s="4">
        <v>2</v>
      </c>
      <c r="C15" s="7" t="s">
        <v>223</v>
      </c>
    </row>
    <row r="16" spans="1:4" ht="19" x14ac:dyDescent="0.2">
      <c r="A16" s="4" t="s">
        <v>62</v>
      </c>
      <c r="B16" s="4">
        <v>1</v>
      </c>
      <c r="C16" s="6" t="s">
        <v>224</v>
      </c>
    </row>
    <row r="17" spans="1:3" ht="19" x14ac:dyDescent="0.2">
      <c r="A17" s="4" t="s">
        <v>64</v>
      </c>
      <c r="B17" s="4">
        <v>5</v>
      </c>
      <c r="C17" s="6" t="s">
        <v>225</v>
      </c>
    </row>
    <row r="18" spans="1:3" ht="19" x14ac:dyDescent="0.2">
      <c r="A18" s="4" t="s">
        <v>66</v>
      </c>
      <c r="B18" s="4">
        <v>3</v>
      </c>
      <c r="C18" s="6" t="s">
        <v>226</v>
      </c>
    </row>
    <row r="19" spans="1:3" ht="19" x14ac:dyDescent="0.2">
      <c r="A19" s="4" t="s">
        <v>68</v>
      </c>
      <c r="B19" s="4">
        <v>9</v>
      </c>
      <c r="C19" s="6" t="s">
        <v>227</v>
      </c>
    </row>
    <row r="20" spans="1:3" ht="19" x14ac:dyDescent="0.2">
      <c r="A20" s="4" t="s">
        <v>70</v>
      </c>
      <c r="B20" s="4">
        <v>9</v>
      </c>
      <c r="C20" s="6" t="s">
        <v>228</v>
      </c>
    </row>
    <row r="21" spans="1:3" ht="19" x14ac:dyDescent="0.2">
      <c r="A21" s="4" t="s">
        <v>72</v>
      </c>
      <c r="B21" s="4">
        <v>3</v>
      </c>
      <c r="C21" s="6" t="s">
        <v>229</v>
      </c>
    </row>
    <row r="22" spans="1:3" ht="19" x14ac:dyDescent="0.2">
      <c r="A22" s="4" t="s">
        <v>74</v>
      </c>
      <c r="B22" s="4">
        <v>0</v>
      </c>
      <c r="C22" s="7" t="s">
        <v>234</v>
      </c>
    </row>
    <row r="23" spans="1:3" ht="19" x14ac:dyDescent="0.2">
      <c r="A23" s="4" t="s">
        <v>76</v>
      </c>
      <c r="B23" s="4">
        <v>8</v>
      </c>
      <c r="C23" s="6" t="s">
        <v>230</v>
      </c>
    </row>
    <row r="24" spans="1:3" ht="19" x14ac:dyDescent="0.2">
      <c r="A24" s="4" t="s">
        <v>78</v>
      </c>
      <c r="B24" s="4">
        <v>2</v>
      </c>
      <c r="C24" s="6" t="s">
        <v>233</v>
      </c>
    </row>
    <row r="25" spans="1:3" ht="19" x14ac:dyDescent="0.2">
      <c r="A25" s="4" t="s">
        <v>80</v>
      </c>
      <c r="B25" s="4">
        <v>8</v>
      </c>
      <c r="C25" s="6" t="s">
        <v>231</v>
      </c>
    </row>
    <row r="26" spans="1:3" ht="19" x14ac:dyDescent="0.2">
      <c r="A26" s="4" t="s">
        <v>82</v>
      </c>
      <c r="B26" s="4">
        <v>2</v>
      </c>
      <c r="C26" s="6" t="s">
        <v>232</v>
      </c>
    </row>
    <row r="27" spans="1:3" ht="19" x14ac:dyDescent="0.2">
      <c r="A27" s="4" t="s">
        <v>84</v>
      </c>
      <c r="B27" s="4">
        <v>2</v>
      </c>
      <c r="C27" s="6" t="s">
        <v>235</v>
      </c>
    </row>
    <row r="28" spans="1:3" ht="19" x14ac:dyDescent="0.2">
      <c r="A28" s="4" t="s">
        <v>86</v>
      </c>
      <c r="B28" s="4">
        <v>6</v>
      </c>
      <c r="C28" s="6" t="s">
        <v>236</v>
      </c>
    </row>
    <row r="29" spans="1:3" ht="19" x14ac:dyDescent="0.2">
      <c r="A29" s="4" t="s">
        <v>88</v>
      </c>
      <c r="B29" s="4">
        <v>4</v>
      </c>
      <c r="C29" s="6" t="s">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40AA-C1A0-3E4E-9AB4-14B1453C8906}">
  <sheetPr>
    <tabColor rgb="FF0070C0"/>
  </sheetPr>
  <dimension ref="A1:C18"/>
  <sheetViews>
    <sheetView zoomScale="137" workbookViewId="0">
      <selection sqref="A1:B1048576"/>
    </sheetView>
  </sheetViews>
  <sheetFormatPr baseColWidth="10" defaultRowHeight="16" x14ac:dyDescent="0.2"/>
  <cols>
    <col min="1" max="1" width="18.1640625" bestFit="1" customWidth="1"/>
    <col min="2" max="2" width="10.83203125" style="2"/>
  </cols>
  <sheetData>
    <row r="1" spans="1:3" x14ac:dyDescent="0.2">
      <c r="A1" s="1" t="s">
        <v>20</v>
      </c>
      <c r="B1" s="2" t="s">
        <v>1</v>
      </c>
      <c r="C1" s="2" t="s">
        <v>128</v>
      </c>
    </row>
    <row r="2" spans="1:3" x14ac:dyDescent="0.2">
      <c r="A2" s="3" t="s">
        <v>3</v>
      </c>
      <c r="B2" s="2">
        <v>2</v>
      </c>
      <c r="C2" t="s">
        <v>193</v>
      </c>
    </row>
    <row r="3" spans="1:3" x14ac:dyDescent="0.2">
      <c r="A3" s="3" t="s">
        <v>4</v>
      </c>
      <c r="B3" s="2">
        <v>4</v>
      </c>
      <c r="C3" t="s">
        <v>194</v>
      </c>
    </row>
    <row r="4" spans="1:3" x14ac:dyDescent="0.2">
      <c r="A4" s="3" t="s">
        <v>5</v>
      </c>
      <c r="B4" s="2">
        <v>5</v>
      </c>
      <c r="C4" t="s">
        <v>195</v>
      </c>
    </row>
    <row r="5" spans="1:3" x14ac:dyDescent="0.2">
      <c r="A5" s="3" t="s">
        <v>6</v>
      </c>
      <c r="B5" s="2">
        <v>6</v>
      </c>
      <c r="C5" t="s">
        <v>196</v>
      </c>
    </row>
    <row r="6" spans="1:3" x14ac:dyDescent="0.2">
      <c r="A6" s="3" t="s">
        <v>7</v>
      </c>
      <c r="B6" s="2">
        <v>8</v>
      </c>
      <c r="C6" t="s">
        <v>197</v>
      </c>
    </row>
    <row r="7" spans="1:3" x14ac:dyDescent="0.2">
      <c r="A7" s="3" t="s">
        <v>8</v>
      </c>
      <c r="B7" s="2">
        <v>4</v>
      </c>
      <c r="C7" t="s">
        <v>198</v>
      </c>
    </row>
    <row r="8" spans="1:3" x14ac:dyDescent="0.2">
      <c r="A8" s="3" t="s">
        <v>9</v>
      </c>
      <c r="B8" s="2">
        <v>1</v>
      </c>
      <c r="C8" t="s">
        <v>199</v>
      </c>
    </row>
    <row r="9" spans="1:3" x14ac:dyDescent="0.2">
      <c r="A9" s="3" t="s">
        <v>10</v>
      </c>
      <c r="B9" s="2">
        <v>0</v>
      </c>
      <c r="C9" t="s">
        <v>200</v>
      </c>
    </row>
    <row r="10" spans="1:3" x14ac:dyDescent="0.2">
      <c r="A10" s="3" t="s">
        <v>11</v>
      </c>
      <c r="B10" s="2">
        <v>2</v>
      </c>
      <c r="C10" t="s">
        <v>201</v>
      </c>
    </row>
    <row r="11" spans="1:3" x14ac:dyDescent="0.2">
      <c r="A11" s="3" t="s">
        <v>12</v>
      </c>
      <c r="B11" s="2">
        <v>0</v>
      </c>
      <c r="C11" t="s">
        <v>202</v>
      </c>
    </row>
    <row r="12" spans="1:3" x14ac:dyDescent="0.2">
      <c r="A12" s="3" t="s">
        <v>13</v>
      </c>
      <c r="B12" s="2">
        <v>0</v>
      </c>
      <c r="C12" t="s">
        <v>203</v>
      </c>
    </row>
    <row r="13" spans="1:3" x14ac:dyDescent="0.2">
      <c r="A13" s="3" t="s">
        <v>14</v>
      </c>
      <c r="B13" s="2">
        <v>2</v>
      </c>
      <c r="C13" t="s">
        <v>204</v>
      </c>
    </row>
    <row r="14" spans="1:3" x14ac:dyDescent="0.2">
      <c r="A14" s="3" t="s">
        <v>15</v>
      </c>
      <c r="B14" s="2">
        <v>6</v>
      </c>
      <c r="C14" t="s">
        <v>205</v>
      </c>
    </row>
    <row r="15" spans="1:3" x14ac:dyDescent="0.2">
      <c r="A15" s="3" t="s">
        <v>16</v>
      </c>
      <c r="B15" s="2">
        <v>4</v>
      </c>
      <c r="C15" t="s">
        <v>206</v>
      </c>
    </row>
    <row r="16" spans="1:3" x14ac:dyDescent="0.2">
      <c r="A16" s="3" t="s">
        <v>17</v>
      </c>
      <c r="B16" s="2">
        <v>9</v>
      </c>
      <c r="C16" t="s">
        <v>207</v>
      </c>
    </row>
    <row r="17" spans="1:3" x14ac:dyDescent="0.2">
      <c r="A17" s="3" t="s">
        <v>18</v>
      </c>
      <c r="B17" s="2">
        <v>6</v>
      </c>
      <c r="C17" t="s">
        <v>208</v>
      </c>
    </row>
    <row r="18" spans="1:3" x14ac:dyDescent="0.2">
      <c r="A18" s="3" t="s">
        <v>19</v>
      </c>
      <c r="B18" s="2">
        <v>0</v>
      </c>
      <c r="C18" t="s">
        <v>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9B4C-111D-EE49-B31E-384F43F1BD12}">
  <sheetPr>
    <tabColor rgb="FF7030A0"/>
  </sheetPr>
  <dimension ref="A1:C29"/>
  <sheetViews>
    <sheetView workbookViewId="0">
      <selection activeCell="B12" sqref="B12"/>
    </sheetView>
  </sheetViews>
  <sheetFormatPr baseColWidth="10" defaultRowHeight="16" x14ac:dyDescent="0.2"/>
  <cols>
    <col min="1" max="1" width="25.1640625" bestFit="1" customWidth="1"/>
  </cols>
  <sheetData>
    <row r="1" spans="1:3" x14ac:dyDescent="0.2">
      <c r="A1" s="4" t="s">
        <v>0</v>
      </c>
      <c r="B1" s="4" t="s">
        <v>1</v>
      </c>
      <c r="C1" s="4" t="s">
        <v>146</v>
      </c>
    </row>
    <row r="2" spans="1:3" x14ac:dyDescent="0.2">
      <c r="A2" s="4" t="s">
        <v>34</v>
      </c>
      <c r="B2" s="5">
        <v>5</v>
      </c>
      <c r="C2" s="5" t="s">
        <v>147</v>
      </c>
    </row>
    <row r="3" spans="1:3" x14ac:dyDescent="0.2">
      <c r="A3" s="4" t="s">
        <v>36</v>
      </c>
      <c r="B3" s="5">
        <v>10</v>
      </c>
      <c r="C3" s="5" t="s">
        <v>148</v>
      </c>
    </row>
    <row r="4" spans="1:3" x14ac:dyDescent="0.2">
      <c r="A4" s="4" t="s">
        <v>38</v>
      </c>
      <c r="B4" s="5">
        <v>0</v>
      </c>
      <c r="C4" s="5" t="s">
        <v>149</v>
      </c>
    </row>
    <row r="5" spans="1:3" x14ac:dyDescent="0.2">
      <c r="A5" s="4" t="s">
        <v>40</v>
      </c>
      <c r="B5" s="5">
        <v>5</v>
      </c>
      <c r="C5" s="5" t="s">
        <v>150</v>
      </c>
    </row>
    <row r="6" spans="1:3" x14ac:dyDescent="0.2">
      <c r="A6" s="4" t="s">
        <v>42</v>
      </c>
      <c r="B6" s="5">
        <v>8</v>
      </c>
      <c r="C6" s="5" t="s">
        <v>151</v>
      </c>
    </row>
    <row r="7" spans="1:3" x14ac:dyDescent="0.2">
      <c r="A7" s="4" t="s">
        <v>44</v>
      </c>
      <c r="B7" s="5">
        <v>0</v>
      </c>
      <c r="C7" s="5" t="s">
        <v>152</v>
      </c>
    </row>
    <row r="8" spans="1:3" x14ac:dyDescent="0.2">
      <c r="A8" s="4" t="s">
        <v>46</v>
      </c>
      <c r="B8" s="5">
        <v>10</v>
      </c>
      <c r="C8" s="5" t="s">
        <v>153</v>
      </c>
    </row>
    <row r="9" spans="1:3" x14ac:dyDescent="0.2">
      <c r="A9" s="4" t="s">
        <v>48</v>
      </c>
      <c r="B9" s="5">
        <v>5</v>
      </c>
      <c r="C9" s="5" t="s">
        <v>154</v>
      </c>
    </row>
    <row r="10" spans="1:3" x14ac:dyDescent="0.2">
      <c r="A10" s="4" t="s">
        <v>50</v>
      </c>
      <c r="B10" s="5">
        <v>0</v>
      </c>
      <c r="C10" s="5" t="s">
        <v>155</v>
      </c>
    </row>
    <row r="11" spans="1:3" x14ac:dyDescent="0.2">
      <c r="A11" s="4" t="s">
        <v>52</v>
      </c>
      <c r="B11" s="5">
        <v>10</v>
      </c>
      <c r="C11" s="5" t="s">
        <v>156</v>
      </c>
    </row>
    <row r="12" spans="1:3" x14ac:dyDescent="0.2">
      <c r="A12" s="4" t="s">
        <v>54</v>
      </c>
      <c r="B12" s="5">
        <v>0</v>
      </c>
      <c r="C12" s="5" t="s">
        <v>157</v>
      </c>
    </row>
    <row r="13" spans="1:3" x14ac:dyDescent="0.2">
      <c r="A13" s="4" t="s">
        <v>56</v>
      </c>
      <c r="B13" s="5">
        <v>7</v>
      </c>
      <c r="C13" s="5" t="s">
        <v>158</v>
      </c>
    </row>
    <row r="14" spans="1:3" x14ac:dyDescent="0.2">
      <c r="A14" s="4" t="s">
        <v>159</v>
      </c>
      <c r="B14" s="5">
        <v>0</v>
      </c>
      <c r="C14" s="5" t="s">
        <v>160</v>
      </c>
    </row>
    <row r="15" spans="1:3" x14ac:dyDescent="0.2">
      <c r="A15" s="4" t="s">
        <v>60</v>
      </c>
      <c r="B15" s="5">
        <v>10</v>
      </c>
      <c r="C15" s="5" t="s">
        <v>161</v>
      </c>
    </row>
    <row r="16" spans="1:3" x14ac:dyDescent="0.2">
      <c r="A16" s="4" t="s">
        <v>62</v>
      </c>
      <c r="B16" s="5">
        <v>5</v>
      </c>
      <c r="C16" s="5" t="s">
        <v>162</v>
      </c>
    </row>
    <row r="17" spans="1:3" x14ac:dyDescent="0.2">
      <c r="A17" s="4" t="s">
        <v>64</v>
      </c>
      <c r="B17" s="5">
        <v>10</v>
      </c>
      <c r="C17" s="5" t="s">
        <v>163</v>
      </c>
    </row>
    <row r="18" spans="1:3" x14ac:dyDescent="0.2">
      <c r="A18" s="4" t="s">
        <v>66</v>
      </c>
      <c r="B18" s="5">
        <v>0</v>
      </c>
      <c r="C18" s="5" t="s">
        <v>164</v>
      </c>
    </row>
    <row r="19" spans="1:3" x14ac:dyDescent="0.2">
      <c r="A19" s="4" t="s">
        <v>68</v>
      </c>
      <c r="B19" s="5">
        <v>0</v>
      </c>
      <c r="C19" s="5" t="s">
        <v>165</v>
      </c>
    </row>
    <row r="20" spans="1:3" x14ac:dyDescent="0.2">
      <c r="A20" s="4" t="s">
        <v>70</v>
      </c>
      <c r="B20" s="5">
        <v>5</v>
      </c>
      <c r="C20" s="5" t="s">
        <v>166</v>
      </c>
    </row>
    <row r="21" spans="1:3" x14ac:dyDescent="0.2">
      <c r="A21" s="4" t="s">
        <v>72</v>
      </c>
      <c r="B21" s="5">
        <v>10</v>
      </c>
      <c r="C21" s="5" t="s">
        <v>167</v>
      </c>
    </row>
    <row r="22" spans="1:3" x14ac:dyDescent="0.2">
      <c r="A22" s="4" t="s">
        <v>74</v>
      </c>
      <c r="B22" s="5">
        <v>10</v>
      </c>
      <c r="C22" s="5" t="s">
        <v>168</v>
      </c>
    </row>
    <row r="23" spans="1:3" x14ac:dyDescent="0.2">
      <c r="A23" s="4" t="s">
        <v>76</v>
      </c>
      <c r="B23" s="5">
        <v>10</v>
      </c>
      <c r="C23" s="5" t="s">
        <v>169</v>
      </c>
    </row>
    <row r="24" spans="1:3" x14ac:dyDescent="0.2">
      <c r="A24" s="4" t="s">
        <v>78</v>
      </c>
      <c r="B24" s="5">
        <v>0</v>
      </c>
      <c r="C24" s="5" t="s">
        <v>170</v>
      </c>
    </row>
    <row r="25" spans="1:3" x14ac:dyDescent="0.2">
      <c r="A25" s="4" t="s">
        <v>80</v>
      </c>
      <c r="B25" s="5">
        <v>10</v>
      </c>
      <c r="C25" s="5" t="s">
        <v>171</v>
      </c>
    </row>
    <row r="26" spans="1:3" x14ac:dyDescent="0.2">
      <c r="A26" s="4" t="s">
        <v>82</v>
      </c>
      <c r="B26" s="5">
        <v>10</v>
      </c>
      <c r="C26" s="5" t="s">
        <v>172</v>
      </c>
    </row>
    <row r="27" spans="1:3" x14ac:dyDescent="0.2">
      <c r="A27" s="4" t="s">
        <v>84</v>
      </c>
      <c r="B27" s="5">
        <v>0</v>
      </c>
      <c r="C27" s="5" t="s">
        <v>173</v>
      </c>
    </row>
    <row r="28" spans="1:3" x14ac:dyDescent="0.2">
      <c r="A28" s="4" t="s">
        <v>86</v>
      </c>
      <c r="B28" s="5">
        <v>10</v>
      </c>
      <c r="C28" s="5" t="s">
        <v>174</v>
      </c>
    </row>
    <row r="29" spans="1:3" x14ac:dyDescent="0.2">
      <c r="A29" s="4" t="s">
        <v>88</v>
      </c>
      <c r="B29" s="5">
        <v>5</v>
      </c>
      <c r="C29" s="5"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7AECB-55AA-E647-8AAC-F4DAB6BD36B5}">
  <sheetPr>
    <tabColor rgb="FF7030A0"/>
  </sheetPr>
  <dimension ref="A1:C18"/>
  <sheetViews>
    <sheetView zoomScale="162" workbookViewId="0">
      <selection activeCell="C24" sqref="C24"/>
    </sheetView>
  </sheetViews>
  <sheetFormatPr baseColWidth="10" defaultRowHeight="16" x14ac:dyDescent="0.2"/>
  <cols>
    <col min="1" max="1" width="18.1640625" bestFit="1" customWidth="1"/>
    <col min="2" max="2" width="10.83203125" style="2"/>
  </cols>
  <sheetData>
    <row r="1" spans="1:3" x14ac:dyDescent="0.2">
      <c r="A1" s="1" t="s">
        <v>20</v>
      </c>
      <c r="B1" s="2" t="s">
        <v>1</v>
      </c>
      <c r="C1" s="2" t="s">
        <v>128</v>
      </c>
    </row>
    <row r="2" spans="1:3" x14ac:dyDescent="0.2">
      <c r="A2" s="3" t="s">
        <v>3</v>
      </c>
      <c r="B2" s="2">
        <v>4.25</v>
      </c>
      <c r="C2" t="s">
        <v>176</v>
      </c>
    </row>
    <row r="3" spans="1:3" x14ac:dyDescent="0.2">
      <c r="A3" s="3" t="s">
        <v>4</v>
      </c>
      <c r="B3" s="2">
        <v>4.2699999999999996</v>
      </c>
      <c r="C3" t="s">
        <v>178</v>
      </c>
    </row>
    <row r="4" spans="1:3" x14ac:dyDescent="0.2">
      <c r="A4" s="3" t="s">
        <v>5</v>
      </c>
      <c r="B4" s="2">
        <v>5.41</v>
      </c>
      <c r="C4" t="s">
        <v>190</v>
      </c>
    </row>
    <row r="5" spans="1:3" x14ac:dyDescent="0.2">
      <c r="A5" s="3" t="s">
        <v>6</v>
      </c>
      <c r="B5" s="2">
        <v>5.58</v>
      </c>
      <c r="C5" t="s">
        <v>191</v>
      </c>
    </row>
    <row r="6" spans="1:3" x14ac:dyDescent="0.2">
      <c r="A6" s="3" t="s">
        <v>7</v>
      </c>
      <c r="B6" s="2">
        <v>6.11</v>
      </c>
      <c r="C6" t="s">
        <v>192</v>
      </c>
    </row>
    <row r="7" spans="1:3" x14ac:dyDescent="0.2">
      <c r="A7" s="3" t="s">
        <v>8</v>
      </c>
      <c r="B7" s="2">
        <v>5.15</v>
      </c>
      <c r="C7" t="s">
        <v>187</v>
      </c>
    </row>
    <row r="8" spans="1:3" x14ac:dyDescent="0.2">
      <c r="A8" s="3" t="s">
        <v>9</v>
      </c>
      <c r="B8" s="2">
        <v>5.31</v>
      </c>
      <c r="C8" t="s">
        <v>189</v>
      </c>
    </row>
    <row r="9" spans="1:3" x14ac:dyDescent="0.2">
      <c r="A9" s="3" t="s">
        <v>10</v>
      </c>
      <c r="B9" s="2">
        <v>5.01</v>
      </c>
      <c r="C9" t="s">
        <v>185</v>
      </c>
    </row>
    <row r="10" spans="1:3" x14ac:dyDescent="0.2">
      <c r="A10" s="3" t="s">
        <v>11</v>
      </c>
      <c r="B10" s="2">
        <v>4.34</v>
      </c>
      <c r="C10" t="s">
        <v>179</v>
      </c>
    </row>
    <row r="11" spans="1:3" x14ac:dyDescent="0.2">
      <c r="A11" s="3" t="s">
        <v>12</v>
      </c>
      <c r="B11" s="2">
        <v>5.0999999999999996</v>
      </c>
      <c r="C11" t="s">
        <v>186</v>
      </c>
    </row>
    <row r="12" spans="1:3" x14ac:dyDescent="0.2">
      <c r="A12" s="3" t="s">
        <v>13</v>
      </c>
      <c r="B12" s="2">
        <v>4.8</v>
      </c>
      <c r="C12" t="s">
        <v>182</v>
      </c>
    </row>
    <row r="13" spans="1:3" x14ac:dyDescent="0.2">
      <c r="A13" s="3" t="s">
        <v>14</v>
      </c>
      <c r="B13" s="2">
        <v>4.2300000000000004</v>
      </c>
      <c r="C13" t="s">
        <v>177</v>
      </c>
    </row>
    <row r="14" spans="1:3" x14ac:dyDescent="0.2">
      <c r="A14" s="3" t="s">
        <v>15</v>
      </c>
      <c r="B14" s="2">
        <v>4.72</v>
      </c>
      <c r="C14" t="s">
        <v>181</v>
      </c>
    </row>
    <row r="15" spans="1:3" x14ac:dyDescent="0.2">
      <c r="A15" s="3" t="s">
        <v>16</v>
      </c>
      <c r="B15" s="2">
        <v>5.2</v>
      </c>
      <c r="C15" t="s">
        <v>188</v>
      </c>
    </row>
    <row r="16" spans="1:3" x14ac:dyDescent="0.2">
      <c r="A16" s="3" t="s">
        <v>17</v>
      </c>
      <c r="B16" s="2">
        <v>4.8899999999999997</v>
      </c>
      <c r="C16" t="s">
        <v>183</v>
      </c>
    </row>
    <row r="17" spans="1:3" x14ac:dyDescent="0.2">
      <c r="A17" s="3" t="s">
        <v>18</v>
      </c>
      <c r="B17" s="2">
        <v>4.6399999999999997</v>
      </c>
      <c r="C17" t="s">
        <v>180</v>
      </c>
    </row>
    <row r="18" spans="1:3" x14ac:dyDescent="0.2">
      <c r="A18" s="3" t="s">
        <v>19</v>
      </c>
      <c r="B18" s="2">
        <v>4.87</v>
      </c>
      <c r="C18" t="s">
        <v>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46DB-D43F-2D46-8C7F-5FD7A8BD7F15}">
  <sheetPr>
    <tabColor rgb="FF00FDFF"/>
  </sheetPr>
  <dimension ref="A1:D29"/>
  <sheetViews>
    <sheetView tabSelected="1" zoomScale="108" workbookViewId="0">
      <selection activeCell="I16" sqref="I16"/>
    </sheetView>
  </sheetViews>
  <sheetFormatPr baseColWidth="10" defaultRowHeight="16" x14ac:dyDescent="0.2"/>
  <cols>
    <col min="1" max="1" width="18.1640625" bestFit="1" customWidth="1"/>
    <col min="2" max="2" width="10.83203125" style="2"/>
    <col min="3" max="3" width="25.1640625" bestFit="1" customWidth="1"/>
  </cols>
  <sheetData>
    <row r="1" spans="1:4" x14ac:dyDescent="0.2">
      <c r="A1" s="1" t="s">
        <v>2</v>
      </c>
      <c r="B1" s="2" t="s">
        <v>1</v>
      </c>
      <c r="C1" s="4" t="s">
        <v>0</v>
      </c>
      <c r="D1" s="4" t="s">
        <v>1</v>
      </c>
    </row>
    <row r="2" spans="1:4" x14ac:dyDescent="0.2">
      <c r="A2" s="3" t="s">
        <v>3</v>
      </c>
      <c r="B2" s="2">
        <f>AVERAGE('Edward Player Types (GPT)'!B2,'Edward Player Types (Copilot)'!B2,'Edward Player Types (DeepSeek)'!B2,'Edward Player Types (Gemini)'!B2)</f>
        <v>5.7625000000000002</v>
      </c>
      <c r="C2" s="5" t="s">
        <v>34</v>
      </c>
      <c r="D2" s="4">
        <f>AVERAGE('Edward Traits (GPT)'!B2,'Edward Traits (Copilot)'!B20,'Edward Traits (DeepSeek)'!B2,'Edward Traits (Gemini)'!B2)</f>
        <v>5.25</v>
      </c>
    </row>
    <row r="3" spans="1:4" x14ac:dyDescent="0.2">
      <c r="A3" s="3" t="s">
        <v>4</v>
      </c>
      <c r="B3" s="2">
        <f>AVERAGE('Edward Player Types (GPT)'!B3,'Edward Player Types (Copilot)'!B3,'Edward Player Types (DeepSeek)'!B3,'Edward Player Types (Gemini)'!B3)</f>
        <v>3.7675000000000001</v>
      </c>
      <c r="C3" s="5" t="s">
        <v>36</v>
      </c>
      <c r="D3" s="4">
        <f>AVERAGE('Edward Traits (GPT)'!B3,'Edward Traits (Copilot)'!B21,'Edward Traits (DeepSeek)'!B3,'Edward Traits (Gemini)'!B3)</f>
        <v>8</v>
      </c>
    </row>
    <row r="4" spans="1:4" x14ac:dyDescent="0.2">
      <c r="A4" s="3" t="s">
        <v>5</v>
      </c>
      <c r="B4" s="2">
        <f>AVERAGE('Edward Player Types (GPT)'!B4,'Edward Player Types (Copilot)'!B4,'Edward Player Types (DeepSeek)'!B4,'Edward Player Types (Gemini)'!B4)</f>
        <v>4.9775</v>
      </c>
      <c r="C4" s="5" t="s">
        <v>38</v>
      </c>
      <c r="D4" s="4">
        <f>AVERAGE('Edward Traits (GPT)'!B4,'Edward Traits (Copilot)'!B22,'Edward Traits (DeepSeek)'!B4,'Edward Traits (Gemini)'!B4)</f>
        <v>2.25</v>
      </c>
    </row>
    <row r="5" spans="1:4" x14ac:dyDescent="0.2">
      <c r="A5" s="3" t="s">
        <v>6</v>
      </c>
      <c r="B5" s="2">
        <f>AVERAGE('Edward Player Types (GPT)'!B5,'Edward Player Types (Copilot)'!B5,'Edward Player Types (DeepSeek)'!B5,'Edward Player Types (Gemini)'!B5)</f>
        <v>5.3949999999999996</v>
      </c>
      <c r="C5" s="5" t="s">
        <v>40</v>
      </c>
      <c r="D5" s="4">
        <f>AVERAGE('Edward Traits (GPT)'!B5,'Edward Traits (Copilot)'!B23,'Edward Traits (DeepSeek)'!B5,'Edward Traits (Gemini)'!B5)</f>
        <v>7.75</v>
      </c>
    </row>
    <row r="6" spans="1:4" x14ac:dyDescent="0.2">
      <c r="A6" s="3" t="s">
        <v>7</v>
      </c>
      <c r="B6" s="2">
        <f>AVERAGE('Edward Player Types (GPT)'!B6,'Edward Player Types (Copilot)'!B6,'Edward Player Types (DeepSeek)'!B6,'Edward Player Types (Gemini)'!B6)</f>
        <v>7.8525</v>
      </c>
      <c r="C6" s="5" t="s">
        <v>42</v>
      </c>
      <c r="D6" s="4">
        <f>AVERAGE('Edward Traits (GPT)'!B6,'Edward Traits (Copilot)'!B24,'Edward Traits (DeepSeek)'!B6,'Edward Traits (Gemini)'!B6)</f>
        <v>4.5</v>
      </c>
    </row>
    <row r="7" spans="1:4" x14ac:dyDescent="0.2">
      <c r="A7" s="3" t="s">
        <v>8</v>
      </c>
      <c r="B7" s="2">
        <f>AVERAGE('Edward Player Types (GPT)'!B7,'Edward Player Types (Copilot)'!B7,'Edward Player Types (DeepSeek)'!B7,'Edward Player Types (Gemini)'!B7)</f>
        <v>6.5374999999999996</v>
      </c>
      <c r="C7" s="5" t="s">
        <v>44</v>
      </c>
      <c r="D7" s="4">
        <f>AVERAGE('Edward Traits (GPT)'!B7,'Edward Traits (Copilot)'!B25,'Edward Traits (DeepSeek)'!B7,'Edward Traits (Gemini)'!B7)</f>
        <v>5.25</v>
      </c>
    </row>
    <row r="8" spans="1:4" x14ac:dyDescent="0.2">
      <c r="A8" s="3" t="s">
        <v>9</v>
      </c>
      <c r="B8" s="2">
        <f>AVERAGE('Edward Player Types (GPT)'!B8,'Edward Player Types (Copilot)'!B8,'Edward Player Types (DeepSeek)'!B8,'Edward Player Types (Gemini)'!B8)</f>
        <v>3.5774999999999997</v>
      </c>
      <c r="C8" s="5" t="s">
        <v>46</v>
      </c>
      <c r="D8" s="4">
        <f>AVERAGE('Edward Traits (GPT)'!B8,'Edward Traits (Copilot)'!B26,'Edward Traits (DeepSeek)'!B8,'Edward Traits (Gemini)'!B8)</f>
        <v>7.75</v>
      </c>
    </row>
    <row r="9" spans="1:4" x14ac:dyDescent="0.2">
      <c r="A9" s="3" t="s">
        <v>10</v>
      </c>
      <c r="B9" s="2">
        <f>AVERAGE('Edward Player Types (GPT)'!B9,'Edward Player Types (Copilot)'!B9,'Edward Player Types (DeepSeek)'!B9,'Edward Player Types (Gemini)'!B9)</f>
        <v>3.4274999999999998</v>
      </c>
      <c r="C9" s="5" t="s">
        <v>48</v>
      </c>
      <c r="D9" s="4">
        <f>AVERAGE('Edward Traits (GPT)'!B9,'Edward Traits (Copilot)'!B27,'Edward Traits (DeepSeek)'!B9,'Edward Traits (Gemini)'!B9)</f>
        <v>5.5</v>
      </c>
    </row>
    <row r="10" spans="1:4" x14ac:dyDescent="0.2">
      <c r="A10" s="3" t="s">
        <v>11</v>
      </c>
      <c r="B10" s="2">
        <f>AVERAGE('Edward Player Types (GPT)'!B10,'Edward Player Types (Copilot)'!B10,'Edward Player Types (DeepSeek)'!B10,'Edward Player Types (Gemini)'!B10)</f>
        <v>4.21</v>
      </c>
      <c r="C10" s="5" t="s">
        <v>50</v>
      </c>
      <c r="D10" s="4">
        <f>AVERAGE('Edward Traits (GPT)'!B10,'Edward Traits (Copilot)'!B28,'Edward Traits (DeepSeek)'!B10,'Edward Traits (Gemini)'!B10)</f>
        <v>5</v>
      </c>
    </row>
    <row r="11" spans="1:4" x14ac:dyDescent="0.2">
      <c r="A11" s="3" t="s">
        <v>12</v>
      </c>
      <c r="B11" s="2">
        <f>AVERAGE('Edward Player Types (GPT)'!B11,'Edward Player Types (Copilot)'!B11,'Edward Player Types (DeepSeek)'!B11,'Edward Player Types (Gemini)'!B11)</f>
        <v>3.4750000000000001</v>
      </c>
      <c r="C11" s="5" t="s">
        <v>52</v>
      </c>
      <c r="D11" s="4">
        <f>AVERAGE('Edward Traits (GPT)'!B11,'Edward Traits (Copilot)'!B29,'Edward Traits (DeepSeek)'!B11,'Edward Traits (Gemini)'!B11)</f>
        <v>7.5</v>
      </c>
    </row>
    <row r="12" spans="1:4" x14ac:dyDescent="0.2">
      <c r="A12" s="3" t="s">
        <v>13</v>
      </c>
      <c r="B12" s="2">
        <f>AVERAGE('Edward Player Types (GPT)'!B12,'Edward Player Types (Copilot)'!B12,'Edward Player Types (DeepSeek)'!B12,'Edward Player Types (Gemini)'!B12)</f>
        <v>4.45</v>
      </c>
      <c r="C12" s="5" t="s">
        <v>54</v>
      </c>
      <c r="D12" s="4">
        <f>AVERAGE('Edward Traits (GPT)'!B12,'Edward Traits (Copilot)'!B30,'Edward Traits (DeepSeek)'!B12,'Edward Traits (Gemini)'!B12)</f>
        <v>4.333333333333333</v>
      </c>
    </row>
    <row r="13" spans="1:4" x14ac:dyDescent="0.2">
      <c r="A13" s="3" t="s">
        <v>14</v>
      </c>
      <c r="B13" s="2">
        <f>AVERAGE('Edward Player Types (GPT)'!B13,'Edward Player Types (Copilot)'!B13,'Edward Player Types (DeepSeek)'!B13,'Edward Player Types (Gemini)'!B13)</f>
        <v>3.8075000000000001</v>
      </c>
      <c r="C13" s="5" t="s">
        <v>56</v>
      </c>
      <c r="D13" s="4">
        <f>AVERAGE('Edward Traits (GPT)'!B13,'Edward Traits (Copilot)'!B31,'Edward Traits (DeepSeek)'!B13,'Edward Traits (Gemini)'!B13)</f>
        <v>5.333333333333333</v>
      </c>
    </row>
    <row r="14" spans="1:4" x14ac:dyDescent="0.2">
      <c r="A14" s="3" t="s">
        <v>15</v>
      </c>
      <c r="B14" s="2">
        <f>AVERAGE('Edward Player Types (GPT)'!B14,'Edward Player Types (Copilot)'!B14,'Edward Player Types (DeepSeek)'!B14,'Edward Player Types (Gemini)'!B14)</f>
        <v>3.4299999999999997</v>
      </c>
      <c r="C14" s="5" t="s">
        <v>159</v>
      </c>
      <c r="D14" s="4">
        <f>AVERAGE('Edward Traits (GPT)'!B14,'Edward Traits (Copilot)'!B32,'Edward Traits (DeepSeek)'!B14,'Edward Traits (Gemini)'!B14)</f>
        <v>4.333333333333333</v>
      </c>
    </row>
    <row r="15" spans="1:4" x14ac:dyDescent="0.2">
      <c r="A15" s="3" t="s">
        <v>16</v>
      </c>
      <c r="B15" s="2">
        <f>AVERAGE('Edward Player Types (GPT)'!B15,'Edward Player Types (Copilot)'!B15,'Edward Player Types (DeepSeek)'!B15,'Edward Player Types (Gemini)'!B15)</f>
        <v>5.05</v>
      </c>
      <c r="C15" s="5" t="s">
        <v>60</v>
      </c>
      <c r="D15" s="4">
        <f>AVERAGE('Edward Traits (GPT)'!B15,'Edward Traits (Copilot)'!B33,'Edward Traits (DeepSeek)'!B15,'Edward Traits (Gemini)'!B15)</f>
        <v>7.333333333333333</v>
      </c>
    </row>
    <row r="16" spans="1:4" x14ac:dyDescent="0.2">
      <c r="A16" s="3" t="s">
        <v>17</v>
      </c>
      <c r="B16" s="2">
        <f>AVERAGE('Edward Player Types (GPT)'!B16,'Edward Player Types (Copilot)'!B16,'Edward Player Types (DeepSeek)'!B16,'Edward Player Types (Gemini)'!B16)</f>
        <v>6.2225000000000001</v>
      </c>
      <c r="C16" s="5" t="s">
        <v>62</v>
      </c>
      <c r="D16" s="4">
        <f>AVERAGE('Edward Traits (GPT)'!B16,'Edward Traits (Copilot)'!B34,'Edward Traits (DeepSeek)'!B16,'Edward Traits (Gemini)'!B16)</f>
        <v>3.6666666666666665</v>
      </c>
    </row>
    <row r="17" spans="1:4" x14ac:dyDescent="0.2">
      <c r="A17" s="3" t="s">
        <v>18</v>
      </c>
      <c r="B17" s="2">
        <f>AVERAGE('Edward Player Types (GPT)'!B17,'Edward Player Types (Copilot)'!B17,'Edward Player Types (DeepSeek)'!B17,'Edward Player Types (Gemini)'!B17)</f>
        <v>7.4850000000000003</v>
      </c>
      <c r="C17" s="5" t="s">
        <v>64</v>
      </c>
      <c r="D17" s="4">
        <f>AVERAGE('Edward Traits (GPT)'!B17,'Edward Traits (Copilot)'!B35,'Edward Traits (DeepSeek)'!B17,'Edward Traits (Gemini)'!B17)</f>
        <v>8</v>
      </c>
    </row>
    <row r="18" spans="1:4" x14ac:dyDescent="0.2">
      <c r="A18" s="3" t="s">
        <v>19</v>
      </c>
      <c r="B18" s="2">
        <f>AVERAGE('Edward Player Types (GPT)'!B18,'Edward Player Types (Copilot)'!B18,'Edward Player Types (DeepSeek)'!B18,'Edward Player Types (Gemini)'!B18)</f>
        <v>2.8425000000000002</v>
      </c>
      <c r="C18" s="5" t="s">
        <v>66</v>
      </c>
      <c r="D18" s="4">
        <f>AVERAGE('Edward Traits (GPT)'!B18,'Edward Traits (Copilot)'!B36,'Edward Traits (DeepSeek)'!B18,'Edward Traits (Gemini)'!B18)</f>
        <v>4</v>
      </c>
    </row>
    <row r="19" spans="1:4" x14ac:dyDescent="0.2">
      <c r="C19" s="5" t="s">
        <v>68</v>
      </c>
      <c r="D19" s="4">
        <f>AVERAGE('Edward Traits (GPT)'!B19,'Edward Traits (Copilot)'!B37,'Edward Traits (DeepSeek)'!B19,'Edward Traits (Gemini)'!B19)</f>
        <v>5.666666666666667</v>
      </c>
    </row>
    <row r="20" spans="1:4" x14ac:dyDescent="0.2">
      <c r="C20" s="5" t="s">
        <v>70</v>
      </c>
      <c r="D20" s="4">
        <f>AVERAGE('Edward Traits (GPT)'!B20,'Edward Traits (Copilot)'!B38,'Edward Traits (DeepSeek)'!B20,'Edward Traits (Gemini)'!B20)</f>
        <v>8</v>
      </c>
    </row>
    <row r="21" spans="1:4" x14ac:dyDescent="0.2">
      <c r="C21" s="5" t="s">
        <v>72</v>
      </c>
      <c r="D21" s="4">
        <f>AVERAGE('Edward Traits (GPT)'!B21,'Edward Traits (Copilot)'!B39,'Edward Traits (DeepSeek)'!B21,'Edward Traits (Gemini)'!B21)</f>
        <v>7.666666666666667</v>
      </c>
    </row>
    <row r="22" spans="1:4" x14ac:dyDescent="0.2">
      <c r="C22" s="5" t="s">
        <v>74</v>
      </c>
      <c r="D22" s="4">
        <f>AVERAGE('Edward Traits (GPT)'!B22,'Edward Traits (Copilot)'!B40,'Edward Traits (DeepSeek)'!B22,'Edward Traits (Gemini)'!B22)</f>
        <v>6.333333333333333</v>
      </c>
    </row>
    <row r="23" spans="1:4" x14ac:dyDescent="0.2">
      <c r="C23" s="5" t="s">
        <v>76</v>
      </c>
      <c r="D23" s="4">
        <f>AVERAGE('Edward Traits (GPT)'!B23,'Edward Traits (Copilot)'!B41,'Edward Traits (DeepSeek)'!B23,'Edward Traits (Gemini)'!B23)</f>
        <v>9.3333333333333339</v>
      </c>
    </row>
    <row r="24" spans="1:4" x14ac:dyDescent="0.2">
      <c r="C24" s="5" t="s">
        <v>78</v>
      </c>
      <c r="D24" s="4">
        <f>AVERAGE('Edward Traits (GPT)'!B24,'Edward Traits (Copilot)'!B42,'Edward Traits (DeepSeek)'!B24,'Edward Traits (Gemini)'!B24)</f>
        <v>3.6666666666666665</v>
      </c>
    </row>
    <row r="25" spans="1:4" x14ac:dyDescent="0.2">
      <c r="C25" s="5" t="s">
        <v>80</v>
      </c>
      <c r="D25" s="4">
        <f>AVERAGE('Edward Traits (GPT)'!B25,'Edward Traits (Copilot)'!B43,'Edward Traits (DeepSeek)'!B25,'Edward Traits (Gemini)'!B25)</f>
        <v>9</v>
      </c>
    </row>
    <row r="26" spans="1:4" x14ac:dyDescent="0.2">
      <c r="C26" s="5" t="s">
        <v>82</v>
      </c>
      <c r="D26" s="4">
        <f>AVERAGE('Edward Traits (GPT)'!B26,'Edward Traits (Copilot)'!B44,'Edward Traits (DeepSeek)'!B26,'Edward Traits (Gemini)'!B26)</f>
        <v>4.333333333333333</v>
      </c>
    </row>
    <row r="27" spans="1:4" x14ac:dyDescent="0.2">
      <c r="C27" s="5" t="s">
        <v>84</v>
      </c>
      <c r="D27" s="4">
        <f>AVERAGE('Edward Traits (GPT)'!B27,'Edward Traits (Copilot)'!B45,'Edward Traits (DeepSeek)'!B27,'Edward Traits (Gemini)'!B27)</f>
        <v>1</v>
      </c>
    </row>
    <row r="28" spans="1:4" x14ac:dyDescent="0.2">
      <c r="C28" s="5" t="s">
        <v>86</v>
      </c>
      <c r="D28" s="4">
        <f>AVERAGE('Edward Traits (GPT)'!B28,'Edward Traits (Copilot)'!B46,'Edward Traits (DeepSeek)'!B28,'Edward Traits (Gemini)'!B28)</f>
        <v>8.6666666666666661</v>
      </c>
    </row>
    <row r="29" spans="1:4" x14ac:dyDescent="0.2">
      <c r="C29" s="5" t="s">
        <v>88</v>
      </c>
      <c r="D29" s="4">
        <f>AVERAGE('Edward Traits (GPT)'!B29,'Edward Traits (Copilot)'!B47,'Edward Traits (DeepSeek)'!B29,'Edward Traits (Gemini)'!B29)</f>
        <v>3.6666666666666665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Edward Traits (GPT)</vt:lpstr>
      <vt:lpstr>Edward Player Types (GPT)</vt:lpstr>
      <vt:lpstr>Edward Traits (Copilot)</vt:lpstr>
      <vt:lpstr>Edward Player Types (Copilot)</vt:lpstr>
      <vt:lpstr>Edward Traits (DeepSeek)</vt:lpstr>
      <vt:lpstr>Edward Player Types (DeepSeek)</vt:lpstr>
      <vt:lpstr>Edward Traits (Gemini)</vt:lpstr>
      <vt:lpstr>Edward Player Types (Gemini)</vt:lpstr>
      <vt:lpstr>Averages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Hanh Nguyen</dc:creator>
  <cp:lastModifiedBy>Lasya Priya Aravabhumi</cp:lastModifiedBy>
  <dcterms:created xsi:type="dcterms:W3CDTF">2026-06-10T02:25:36Z</dcterms:created>
  <dcterms:modified xsi:type="dcterms:W3CDTF">2026-06-13T04:25:32Z</dcterms:modified>
</cp:coreProperties>
</file>